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C62" i="1" l="1"/>
  <c r="C60" i="1"/>
  <c r="C58" i="1"/>
  <c r="C56" i="1"/>
  <c r="B55" i="1"/>
  <c r="B24" i="8"/>
  <c r="C54" i="1"/>
  <c r="C52" i="1"/>
  <c r="C50" i="1"/>
  <c r="B53" i="1"/>
  <c r="C26" i="1"/>
  <c r="C24" i="1"/>
  <c r="C22" i="1"/>
  <c r="B19" i="8"/>
  <c r="B20" i="8"/>
  <c r="B21" i="8"/>
  <c r="B22" i="8"/>
  <c r="B23" i="8"/>
  <c r="B25" i="8"/>
  <c r="B26" i="8"/>
  <c r="B27" i="8"/>
  <c r="B28" i="8"/>
  <c r="B4" i="8"/>
  <c r="B5" i="8"/>
  <c r="B6" i="8"/>
  <c r="B7" i="8"/>
  <c r="B8" i="8"/>
  <c r="B9" i="8"/>
  <c r="B10" i="8"/>
  <c r="B11" i="8"/>
  <c r="B12" i="8"/>
  <c r="B13" i="8"/>
  <c r="B14" i="8"/>
  <c r="B15" i="8"/>
  <c r="B16" i="8"/>
  <c r="B17" i="8"/>
  <c r="B1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B57" i="1"/>
  <c r="F58" i="1"/>
  <c r="B59" i="1"/>
  <c r="F60" i="1"/>
  <c r="B61" i="1"/>
  <c r="F62" i="1"/>
  <c r="F64" i="1"/>
  <c r="F66" i="1"/>
  <c r="F70" i="1"/>
  <c r="F72" i="1"/>
  <c r="F74" i="1"/>
  <c r="F76" i="1"/>
  <c r="F78" i="1"/>
  <c r="F80" i="1"/>
  <c r="F82" i="1"/>
  <c r="F84" i="1"/>
  <c r="F86" i="1"/>
  <c r="F90" i="1"/>
  <c r="B91"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D2" i="1"/>
  <c r="F2" i="1"/>
  <c r="F6" i="1"/>
  <c r="H2" i="1"/>
  <c r="H6" i="1"/>
  <c r="J2" i="1"/>
  <c r="J6" i="1"/>
  <c r="L2" i="1"/>
  <c r="L6" i="1"/>
  <c r="N2" i="1"/>
  <c r="N6" i="1"/>
  <c r="P2" i="1"/>
  <c r="P6" i="1"/>
  <c r="R2" i="1"/>
  <c r="R6" i="1"/>
  <c r="T2" i="1"/>
  <c r="T6"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C20" i="1"/>
  <c r="C18" i="1"/>
  <c r="C16" i="1"/>
  <c r="C14" i="1"/>
  <c r="C12" i="1"/>
  <c r="C10" i="1"/>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56" i="1"/>
  <c r="U58" i="1"/>
  <c r="U62"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82" i="1"/>
  <c r="U66" i="1"/>
  <c r="U60" i="1"/>
  <c r="U40" i="1"/>
  <c r="U30" i="1"/>
  <c r="B4" i="1"/>
  <c r="U74" i="1"/>
  <c r="U36" i="1"/>
  <c r="U38" i="1"/>
  <c r="U72" i="1"/>
  <c r="U70" i="1"/>
  <c r="U76" i="1"/>
  <c r="U34" i="1"/>
  <c r="U32" i="1"/>
  <c r="U28" i="1"/>
  <c r="U68" i="1"/>
</calcChain>
</file>

<file path=xl/sharedStrings.xml><?xml version="1.0" encoding="utf-8"?>
<sst xmlns="http://schemas.openxmlformats.org/spreadsheetml/2006/main" count="133" uniqueCount="104">
  <si>
    <t>Total</t>
  </si>
  <si>
    <t>SEM</t>
  </si>
  <si>
    <t>Prévu</t>
  </si>
  <si>
    <t>Nom</t>
  </si>
  <si>
    <t>Tâches</t>
  </si>
  <si>
    <t>Participants</t>
  </si>
  <si>
    <t>Prénom</t>
  </si>
  <si>
    <t>Projet</t>
  </si>
  <si>
    <t>Activités</t>
  </si>
  <si>
    <t>Date début</t>
  </si>
  <si>
    <t>26 -</t>
  </si>
  <si>
    <t>44 -</t>
  </si>
  <si>
    <t>45 -</t>
  </si>
  <si>
    <t>46 -</t>
  </si>
  <si>
    <t>Planification</t>
  </si>
  <si>
    <t>Koetschet</t>
  </si>
  <si>
    <t>Thierry</t>
  </si>
  <si>
    <t>25 -</t>
  </si>
  <si>
    <t>27 -</t>
  </si>
  <si>
    <t>28 -</t>
  </si>
  <si>
    <t>29 -</t>
  </si>
  <si>
    <t>30 -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</si>
  <si>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</si>
  <si>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</si>
  <si>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</si>
  <si>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</si>
  <si>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</si>
  <si>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</si>
  <si>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</si>
  <si>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</si>
  <si>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</si>
  <si>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</si>
  <si>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</si>
  <si>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</si>
  <si>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</si>
  <si>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</si>
  <si>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</si>
  <si>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</si>
  <si>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</si>
  <si>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</si>
  <si>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</si>
  <si>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</si>
  <si>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</si>
  <si>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</si>
  <si>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</si>
  <si>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</si>
  <si>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</si>
  <si>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</si>
  <si>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</si>
  <si>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</si>
  <si>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</si>
  <si>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</si>
  <si>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</si>
  <si>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</si>
  <si>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</si>
  <si>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</si>
  <si>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</si>
  <si>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</si>
  <si>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</si>
  <si>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</si>
  <si>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</si>
  <si>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</si>
  <si>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</si>
  <si>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</si>
  <si>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</si>
  <si>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</si>
  <si>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</si>
  <si>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</si>
  <si>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</si>
  <si>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</si>
  <si>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</si>
  <si>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</si>
  <si>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</si>
  <si>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</si>
  <si>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</si>
  <si>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</si>
  <si>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</si>
  <si>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</si>
  <si>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</si>
  <si>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</si>
  <si>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</si>
  <si>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</si>
  <si>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</si>
  <si>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</si>
  <si>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</si>
  <si>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</si>
  <si>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</si>
  <si>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</si>
  <si>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</si>
  <si>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</si>
  <si>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Installation de Native Script</t>
  </si>
  <si>
    <t>Tentative de création de projet et de construire l'application</t>
  </si>
  <si>
    <t>Problème au niveau du "build" de l'application</t>
  </si>
  <si>
    <t>Rédaction de la partie dossier de réalisation</t>
  </si>
  <si>
    <t>Tentative d'installation de Native Script sans grand succès pour l'instant</t>
  </si>
  <si>
    <t>Test de création d'un projet avec Native Script</t>
  </si>
  <si>
    <t>Planification de la semaine 10</t>
  </si>
  <si>
    <t>Rédaction de la partie organisation</t>
  </si>
  <si>
    <t>Participation à la présentation de l'Ecole Supérieure par le CPNV</t>
  </si>
  <si>
    <t>34 Page d'affichage des restaurants</t>
  </si>
  <si>
    <t>35 Page d'affichage des catégories de plats</t>
  </si>
  <si>
    <t>52 Travail en dehors de l'horaire officiel</t>
  </si>
  <si>
    <t>36 Rédaction des tests</t>
  </si>
  <si>
    <t>37 Application des tests et considération des résultats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</si>
</sst>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102">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xf>
    <xf numFmtId="0" fontId="0" fillId="0" borderId="0" xfId="0" applyAlignment="1" applyProtection="1">
      <alignment horizontal="left" wrapText="1"/>
    </xf>
    <xf numFmtId="0" fontId="1" fillId="0" borderId="23" xfId="0" applyFont="1" applyBorder="1" applyAlignment="1" applyProtection="1">
      <alignment horizontal="left" vertical="top" wrapText="1"/>
    </xf>
    <xf numFmtId="166" fontId="12" fillId="0" borderId="23" xfId="0" applyNumberFormat="1" applyFont="1" applyBorder="1" applyAlignment="1" applyProtection="1">
      <alignment horizontal="left" wrapText="1"/>
      <protection locked="0"/>
    </xf>
  </cellXfs>
  <cellStyles count="1">
    <cellStyle name="Normal" xfId="0" builtinId="0"/>
  </cellStyles>
  <dxfs count="4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abSelected="1" workbookViewId="0">
      <selection activeCell="G30" sqref="G30"/>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5" t="s">
        <v>31</v>
      </c>
      <c r="B4" s="14">
        <v>44957</v>
      </c>
      <c r="C4" s="64" t="s">
        <v>15</v>
      </c>
      <c r="D4" s="15" t="s">
        <v>16</v>
      </c>
      <c r="E4" s="8"/>
      <c r="F4" s="11" t="s">
        <v>28</v>
      </c>
      <c r="G4" s="16" t="s">
        <v>32</v>
      </c>
      <c r="H4" s="8"/>
    </row>
    <row r="5" spans="1:8" x14ac:dyDescent="0.25">
      <c r="A5" s="96"/>
      <c r="B5" s="8"/>
      <c r="C5" s="8"/>
      <c r="D5" s="8"/>
      <c r="E5" s="8"/>
      <c r="F5" s="6"/>
      <c r="G5" s="17" t="s">
        <v>86</v>
      </c>
      <c r="H5" s="8"/>
    </row>
    <row r="6" spans="1:8" x14ac:dyDescent="0.25">
      <c r="A6" s="97"/>
      <c r="B6" s="8"/>
      <c r="C6" s="8"/>
      <c r="D6" s="8"/>
      <c r="E6" s="8"/>
      <c r="F6" s="6"/>
      <c r="G6" s="17" t="s">
        <v>33</v>
      </c>
      <c r="H6" s="8"/>
    </row>
    <row r="7" spans="1:8" x14ac:dyDescent="0.25">
      <c r="A7" s="8"/>
      <c r="B7" s="8"/>
      <c r="C7" s="8"/>
      <c r="D7" s="8"/>
      <c r="E7" s="8"/>
      <c r="F7" s="6"/>
      <c r="G7" s="17" t="s">
        <v>85</v>
      </c>
      <c r="H7" s="8"/>
    </row>
    <row r="8" spans="1:8" x14ac:dyDescent="0.25">
      <c r="A8" s="8"/>
      <c r="B8" s="8"/>
      <c r="C8" s="8"/>
      <c r="D8" s="8"/>
      <c r="E8" s="8"/>
      <c r="F8" s="6"/>
      <c r="G8" s="17" t="s">
        <v>34</v>
      </c>
      <c r="H8" s="8"/>
    </row>
    <row r="9" spans="1:8" x14ac:dyDescent="0.25">
      <c r="A9" s="8"/>
      <c r="B9" s="8"/>
      <c r="C9" s="8"/>
      <c r="D9" s="8"/>
      <c r="E9" s="8"/>
      <c r="F9" s="6"/>
      <c r="G9" s="12" t="s">
        <v>84</v>
      </c>
      <c r="H9" s="8"/>
    </row>
    <row r="10" spans="1:8" x14ac:dyDescent="0.25">
      <c r="A10" s="8"/>
      <c r="B10" s="8"/>
      <c r="C10" s="8"/>
      <c r="D10" s="8"/>
      <c r="E10" s="8"/>
      <c r="F10" s="6"/>
      <c r="G10" s="12" t="s">
        <v>82</v>
      </c>
      <c r="H10" s="8"/>
    </row>
    <row r="11" spans="1:8" x14ac:dyDescent="0.25">
      <c r="A11" s="8"/>
      <c r="B11" s="8"/>
      <c r="C11" s="8"/>
      <c r="D11" s="8"/>
      <c r="E11" s="8"/>
      <c r="F11" s="6"/>
      <c r="G11" s="12" t="s">
        <v>83</v>
      </c>
      <c r="H11" s="8"/>
    </row>
    <row r="12" spans="1:8" x14ac:dyDescent="0.25">
      <c r="A12" s="8"/>
      <c r="B12" s="8"/>
      <c r="C12" s="8"/>
      <c r="D12" s="8"/>
      <c r="E12" s="8"/>
      <c r="F12" s="6"/>
      <c r="G12" s="12" t="s">
        <v>81</v>
      </c>
      <c r="H12" s="8"/>
    </row>
    <row r="13" spans="1:8" x14ac:dyDescent="0.25">
      <c r="A13" s="8"/>
      <c r="B13" s="8"/>
      <c r="C13" s="8"/>
      <c r="D13" s="8"/>
      <c r="E13" s="8"/>
      <c r="F13" s="11" t="s">
        <v>29</v>
      </c>
      <c r="G13" s="11" t="s">
        <v>35</v>
      </c>
      <c r="H13" s="8"/>
    </row>
    <row r="14" spans="1:8" x14ac:dyDescent="0.25">
      <c r="A14" s="8"/>
      <c r="B14" s="8"/>
      <c r="C14" s="8"/>
      <c r="D14" s="8"/>
      <c r="E14" s="8"/>
      <c r="F14" s="6"/>
      <c r="G14" s="12" t="s">
        <v>36</v>
      </c>
      <c r="H14" s="8"/>
    </row>
    <row r="15" spans="1:8" x14ac:dyDescent="0.25">
      <c r="A15" s="8"/>
      <c r="B15" s="8"/>
      <c r="C15" s="8"/>
      <c r="D15" s="8"/>
      <c r="E15" s="8"/>
      <c r="F15" s="6"/>
      <c r="G15" s="12" t="s">
        <v>37</v>
      </c>
      <c r="H15" s="8"/>
    </row>
    <row r="16" spans="1:8" x14ac:dyDescent="0.25">
      <c r="A16" s="8"/>
      <c r="B16" s="8"/>
      <c r="C16" s="8"/>
      <c r="D16" s="8"/>
      <c r="E16" s="8"/>
      <c r="F16" s="6"/>
      <c r="G16" s="12" t="s">
        <v>38</v>
      </c>
      <c r="H16" s="8"/>
    </row>
    <row r="17" spans="1:8" x14ac:dyDescent="0.25">
      <c r="A17" s="8"/>
      <c r="B17" s="8"/>
      <c r="C17" s="8"/>
      <c r="D17" s="8"/>
      <c r="E17" s="8"/>
      <c r="F17" s="6"/>
      <c r="G17" s="12" t="s">
        <v>17</v>
      </c>
      <c r="H17" s="8"/>
    </row>
    <row r="18" spans="1:8" x14ac:dyDescent="0.25">
      <c r="A18" s="8"/>
      <c r="B18" s="8"/>
      <c r="C18" s="8"/>
      <c r="D18" s="8"/>
      <c r="E18" s="8"/>
      <c r="F18" s="6"/>
      <c r="G18" s="12" t="s">
        <v>10</v>
      </c>
      <c r="H18" s="8"/>
    </row>
    <row r="19" spans="1:8" x14ac:dyDescent="0.25">
      <c r="A19" s="8"/>
      <c r="B19" s="8"/>
      <c r="C19" s="8"/>
      <c r="D19" s="8"/>
      <c r="E19" s="8"/>
      <c r="F19" s="6"/>
      <c r="G19" s="12" t="s">
        <v>18</v>
      </c>
      <c r="H19" s="8"/>
    </row>
    <row r="20" spans="1:8" x14ac:dyDescent="0.25">
      <c r="A20" s="8"/>
      <c r="B20" s="8"/>
      <c r="C20" s="8"/>
      <c r="D20" s="8"/>
      <c r="E20" s="8"/>
      <c r="F20" s="6"/>
      <c r="G20" s="12" t="s">
        <v>19</v>
      </c>
      <c r="H20" s="8"/>
    </row>
    <row r="21" spans="1:8" x14ac:dyDescent="0.25">
      <c r="A21" s="8"/>
      <c r="B21" s="8"/>
      <c r="C21" s="8"/>
      <c r="D21" s="8"/>
      <c r="E21" s="8"/>
      <c r="F21" s="6"/>
      <c r="G21" s="12" t="s">
        <v>20</v>
      </c>
      <c r="H21" s="8"/>
    </row>
    <row r="22" spans="1:8" x14ac:dyDescent="0.25">
      <c r="A22" s="8"/>
      <c r="B22" s="8"/>
      <c r="C22" s="8"/>
      <c r="D22" s="8"/>
      <c r="E22" s="8"/>
      <c r="F22" s="7"/>
      <c r="G22" s="12" t="s">
        <v>21</v>
      </c>
      <c r="H22" s="8"/>
    </row>
    <row r="23" spans="1:8" x14ac:dyDescent="0.25">
      <c r="A23" s="8"/>
      <c r="B23" s="8"/>
      <c r="C23" s="8"/>
      <c r="D23" s="8"/>
      <c r="E23" s="8"/>
      <c r="F23" s="11" t="s">
        <v>30</v>
      </c>
      <c r="G23" s="16" t="s">
        <v>89</v>
      </c>
      <c r="H23" s="8"/>
    </row>
    <row r="24" spans="1:8" x14ac:dyDescent="0.25">
      <c r="A24" s="8"/>
      <c r="B24" s="8"/>
      <c r="C24" s="8"/>
      <c r="D24" s="8"/>
      <c r="E24" s="8"/>
      <c r="F24" s="6"/>
      <c r="G24" s="17" t="s">
        <v>87</v>
      </c>
      <c r="H24" s="8"/>
    </row>
    <row r="25" spans="1:8" x14ac:dyDescent="0.25">
      <c r="A25" s="8"/>
      <c r="B25" s="8"/>
      <c r="C25" s="8"/>
      <c r="D25" s="8"/>
      <c r="E25" s="8"/>
      <c r="F25" s="6"/>
      <c r="G25" s="17" t="s">
        <v>88</v>
      </c>
      <c r="H25" s="8"/>
    </row>
    <row r="26" spans="1:8" x14ac:dyDescent="0.25">
      <c r="A26" s="8"/>
      <c r="B26" s="8"/>
      <c r="C26" s="8"/>
      <c r="D26" s="8"/>
      <c r="E26" s="8"/>
      <c r="F26" s="6"/>
      <c r="G26" s="17" t="s">
        <v>99</v>
      </c>
      <c r="H26" s="8"/>
    </row>
    <row r="27" spans="1:8" x14ac:dyDescent="0.25">
      <c r="A27" s="8"/>
      <c r="B27" s="8"/>
      <c r="C27" s="8"/>
      <c r="D27" s="8"/>
      <c r="E27" s="8"/>
      <c r="F27" s="6"/>
      <c r="G27" s="17" t="s">
        <v>100</v>
      </c>
      <c r="H27" s="8"/>
    </row>
    <row r="28" spans="1:8" x14ac:dyDescent="0.25">
      <c r="A28" s="8"/>
      <c r="B28" s="8"/>
      <c r="C28" s="8"/>
      <c r="D28" s="8"/>
      <c r="E28" s="8"/>
      <c r="F28" s="6"/>
      <c r="G28" s="17" t="s">
        <v>102</v>
      </c>
      <c r="H28" s="8"/>
    </row>
    <row r="29" spans="1:8" x14ac:dyDescent="0.25">
      <c r="A29" s="8"/>
      <c r="B29" s="8"/>
      <c r="C29" s="8"/>
      <c r="D29" s="8"/>
      <c r="E29" s="8"/>
      <c r="F29" s="6"/>
      <c r="G29" s="17" t="s">
        <v>103</v>
      </c>
      <c r="H29" s="8"/>
    </row>
    <row r="30" spans="1:8" x14ac:dyDescent="0.25">
      <c r="A30" s="8"/>
      <c r="B30" s="8"/>
      <c r="C30" s="8"/>
      <c r="D30" s="8"/>
      <c r="E30" s="8"/>
      <c r="F30" s="6"/>
      <c r="G30" s="17" t="s">
        <v>22</v>
      </c>
      <c r="H30" s="8"/>
    </row>
    <row r="31" spans="1:8" x14ac:dyDescent="0.25">
      <c r="A31" s="8"/>
      <c r="B31" s="8"/>
      <c r="C31" s="8"/>
      <c r="D31" s="8"/>
      <c r="E31" s="8"/>
      <c r="F31" s="6"/>
      <c r="G31" s="17" t="s">
        <v>23</v>
      </c>
      <c r="H31" s="8"/>
    </row>
    <row r="32" spans="1:8" x14ac:dyDescent="0.25">
      <c r="A32" s="8"/>
      <c r="B32" s="8"/>
      <c r="C32" s="8"/>
      <c r="D32" s="8"/>
      <c r="E32" s="8"/>
      <c r="F32" s="7"/>
      <c r="G32" s="17" t="s">
        <v>24</v>
      </c>
      <c r="H32" s="8"/>
    </row>
    <row r="33" spans="1:8" x14ac:dyDescent="0.25">
      <c r="A33" s="8"/>
      <c r="B33" s="8"/>
      <c r="C33" s="8"/>
      <c r="D33" s="8"/>
      <c r="E33" s="8"/>
      <c r="F33" s="11" t="s">
        <v>39</v>
      </c>
      <c r="G33" s="11" t="s">
        <v>50</v>
      </c>
      <c r="H33" s="8"/>
    </row>
    <row r="34" spans="1:8" x14ac:dyDescent="0.25">
      <c r="A34" s="8"/>
      <c r="B34" s="8"/>
      <c r="C34" s="8"/>
      <c r="D34" s="8"/>
      <c r="E34" s="8"/>
      <c r="F34" s="6"/>
      <c r="G34" s="12" t="s">
        <v>49</v>
      </c>
      <c r="H34" s="8"/>
    </row>
    <row r="35" spans="1:8" x14ac:dyDescent="0.25">
      <c r="A35" s="8"/>
      <c r="B35" s="8"/>
      <c r="C35" s="8"/>
      <c r="D35" s="8"/>
      <c r="E35" s="8"/>
      <c r="F35" s="6"/>
      <c r="G35" s="12" t="s">
        <v>48</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25</v>
      </c>
      <c r="H39" s="8"/>
    </row>
    <row r="40" spans="1:8" x14ac:dyDescent="0.25">
      <c r="A40" s="8"/>
      <c r="B40" s="8"/>
      <c r="C40" s="8"/>
      <c r="D40" s="8"/>
      <c r="E40" s="8"/>
      <c r="F40" s="6"/>
      <c r="G40" s="12" t="s">
        <v>26</v>
      </c>
      <c r="H40" s="8"/>
    </row>
    <row r="41" spans="1:8" x14ac:dyDescent="0.25">
      <c r="A41" s="8"/>
      <c r="B41" s="8"/>
      <c r="C41" s="8"/>
      <c r="D41" s="8"/>
      <c r="E41" s="8"/>
      <c r="F41" s="7"/>
      <c r="G41" s="13" t="s">
        <v>27</v>
      </c>
      <c r="H41" s="8"/>
    </row>
    <row r="42" spans="1:8" x14ac:dyDescent="0.25">
      <c r="A42" s="8"/>
      <c r="B42" s="8"/>
      <c r="C42" s="8"/>
      <c r="D42" s="8"/>
      <c r="E42" s="8"/>
      <c r="F42" s="11" t="s">
        <v>68</v>
      </c>
      <c r="G42" s="11" t="s">
        <v>73</v>
      </c>
      <c r="H42" s="8"/>
    </row>
    <row r="43" spans="1:8" x14ac:dyDescent="0.25">
      <c r="A43" s="8"/>
      <c r="B43" s="8"/>
      <c r="C43" s="8"/>
      <c r="D43" s="8"/>
      <c r="E43" s="8"/>
      <c r="F43" s="6"/>
      <c r="G43" s="12" t="s">
        <v>101</v>
      </c>
      <c r="H43" s="8"/>
    </row>
    <row r="44" spans="1:8" x14ac:dyDescent="0.25">
      <c r="A44" s="8"/>
      <c r="B44" s="8"/>
      <c r="C44" s="8"/>
      <c r="D44" s="8"/>
      <c r="E44" s="8"/>
      <c r="F44" s="6"/>
      <c r="G44" s="12" t="s">
        <v>65</v>
      </c>
      <c r="H44" s="8"/>
    </row>
    <row r="45" spans="1:8" x14ac:dyDescent="0.25">
      <c r="A45" s="8"/>
      <c r="B45" s="8"/>
      <c r="C45" s="8"/>
      <c r="D45" s="8"/>
      <c r="E45" s="8"/>
      <c r="F45" s="6"/>
      <c r="G45" s="12" t="s">
        <v>66</v>
      </c>
      <c r="H45" s="8"/>
    </row>
    <row r="46" spans="1:8" x14ac:dyDescent="0.25">
      <c r="A46" s="8"/>
      <c r="B46" s="8"/>
      <c r="C46" s="8"/>
      <c r="D46" s="8"/>
      <c r="E46" s="8"/>
      <c r="F46" s="6"/>
      <c r="G46" s="12" t="s">
        <v>67</v>
      </c>
      <c r="H46" s="8"/>
    </row>
    <row r="47" spans="1:8" x14ac:dyDescent="0.25">
      <c r="A47" s="8"/>
      <c r="B47" s="8"/>
      <c r="C47" s="8"/>
      <c r="D47" s="8"/>
      <c r="E47" s="8"/>
      <c r="F47" s="6"/>
      <c r="G47" s="12" t="s">
        <v>69</v>
      </c>
      <c r="H47" s="8"/>
    </row>
    <row r="48" spans="1:8" x14ac:dyDescent="0.25">
      <c r="A48" s="8"/>
      <c r="B48" s="8"/>
      <c r="C48" s="8"/>
      <c r="D48" s="8"/>
      <c r="E48" s="8"/>
      <c r="F48" s="6"/>
      <c r="G48" s="12" t="s">
        <v>70</v>
      </c>
      <c r="H48" s="8"/>
    </row>
    <row r="49" spans="1:8" x14ac:dyDescent="0.25">
      <c r="A49" s="8"/>
      <c r="B49" s="8"/>
      <c r="C49" s="8"/>
      <c r="D49" s="8"/>
      <c r="E49" s="8"/>
      <c r="F49" s="6"/>
      <c r="G49" s="12" t="s">
        <v>71</v>
      </c>
      <c r="H49" s="8"/>
    </row>
    <row r="50" spans="1:8" x14ac:dyDescent="0.25">
      <c r="A50" s="8"/>
      <c r="B50" s="8"/>
      <c r="C50" s="8"/>
      <c r="D50" s="8"/>
      <c r="E50" s="8"/>
      <c r="F50" s="7"/>
      <c r="G50" s="13" t="s">
        <v>72</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opLeftCell="A40" zoomScale="70" zoomScaleNormal="70" zoomScalePageLayoutView="70" workbookViewId="0">
      <selection activeCell="N55" sqref="N55"/>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14</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2.885416666666667</v>
      </c>
      <c r="D3" s="1">
        <f>SUMIF($C$9:$C$9988,$C9,D$9:D$9988)</f>
        <v>0.375</v>
      </c>
      <c r="E3" s="2"/>
      <c r="F3" s="61">
        <f>SUMIF($C$9:$C$9988,$C9,F$9:F$9988)</f>
        <v>0.37500000000000006</v>
      </c>
      <c r="G3" s="3"/>
      <c r="H3" s="61">
        <f>SUMIF($C$9:$C$9988,$C9,H$9:H$9988)</f>
        <v>0.37500000000000006</v>
      </c>
      <c r="I3" s="3"/>
      <c r="J3" s="1">
        <f>SUMIF($C$9:$C$9988,$C9,J$9:J$9988)</f>
        <v>0.37500000000000006</v>
      </c>
      <c r="K3" s="3"/>
      <c r="L3" s="1">
        <f>SUMIF($C$9:$C$9988,$C9,L$9:L$9988)</f>
        <v>0.375</v>
      </c>
      <c r="M3" s="3"/>
      <c r="N3" s="1">
        <f>SUMIF($C$9:$C$9988,$C9,N$9:N$9988)</f>
        <v>0.15625</v>
      </c>
      <c r="O3" s="3"/>
      <c r="P3" s="4">
        <f>SUMIF($C$9:$C$9988,$C9,P$9:P$9988)</f>
        <v>0.23958333333333334</v>
      </c>
      <c r="Q3" s="3"/>
      <c r="R3" s="1">
        <f>SUMIF($C$9:$C$9988,$C9,R$9:R$9988)</f>
        <v>0.23958333333333334</v>
      </c>
      <c r="S3" s="3"/>
      <c r="T3" s="1">
        <f>SUMIF($C$9:$C$9988,$C9,T$9:T$9988)</f>
        <v>0.375</v>
      </c>
    </row>
    <row r="4" spans="1:21" ht="18" customHeight="1" thickBot="1" x14ac:dyDescent="0.3">
      <c r="A4" s="48" t="str">
        <f>Base!C4</f>
        <v>Koetschet</v>
      </c>
      <c r="B4" s="49">
        <f>SUM(D4:T4)</f>
        <v>1.5416666666666667</v>
      </c>
      <c r="C4" s="22"/>
      <c r="D4" s="4">
        <f>SUMIF($C$9:$C$106,$A4,D$9:D$106)</f>
        <v>0.375</v>
      </c>
      <c r="E4" s="2"/>
      <c r="F4" s="4">
        <f>SUMIF($C$9:$C$106,$A4,F$9:F$106)</f>
        <v>0.375</v>
      </c>
      <c r="G4" s="2"/>
      <c r="H4" s="4">
        <f>SUMIF($C$9:$C$106,$A4,H$9:H$106)</f>
        <v>0.375</v>
      </c>
      <c r="I4" s="2"/>
      <c r="J4" s="4">
        <f>SUMIF($C$9:$C$106,$A4,J$9:J$106)</f>
        <v>0.375</v>
      </c>
      <c r="K4" s="2"/>
      <c r="L4" s="4">
        <f>SUMIF($C$9:$C$106,$A4,L$9:L$106)</f>
        <v>4.1666666666666664E-2</v>
      </c>
      <c r="M4" s="2"/>
      <c r="N4" s="4">
        <f>SUMIF($C$9:$C$106,$A4,N$9:N$106)</f>
        <v>0</v>
      </c>
      <c r="O4" s="2"/>
      <c r="P4" s="4">
        <f>SUMIF($C$9:$C$106,$A4,P$9:P$106)</f>
        <v>0</v>
      </c>
      <c r="Q4" s="2"/>
      <c r="R4" s="4">
        <f>SUMIF($C$9:$C$106,$A4,R$9:R$106)</f>
        <v>0</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82">
        <f>WEEKNUM(D2,1)</f>
        <v>5</v>
      </c>
      <c r="E6" s="83"/>
      <c r="F6" s="82">
        <f>WEEKNUM(F2,1)</f>
        <v>6</v>
      </c>
      <c r="G6" s="83"/>
      <c r="H6" s="82">
        <f>WEEKNUM(H2,1)</f>
        <v>8</v>
      </c>
      <c r="I6" s="83"/>
      <c r="J6" s="84">
        <f>WEEKNUM(J2,1)</f>
        <v>9</v>
      </c>
      <c r="K6" s="83"/>
      <c r="L6" s="82">
        <f>WEEKNUM(L2,1)</f>
        <v>10</v>
      </c>
      <c r="M6" s="83"/>
      <c r="N6" s="82">
        <f>WEEKNUM(N2,1)</f>
        <v>11</v>
      </c>
      <c r="O6" s="83"/>
      <c r="P6" s="82">
        <f>WEEKNUM(P2,1)</f>
        <v>12</v>
      </c>
      <c r="Q6" s="83"/>
      <c r="R6" s="82">
        <f>WEEKNUM(R2,1)</f>
        <v>13</v>
      </c>
      <c r="S6" s="83"/>
      <c r="T6" s="82">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0.59375</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0">IF(SUM(D9:T9)=0,"",SUM(D9:T9))</f>
        <v>4.1666666666666664E-2</v>
      </c>
    </row>
    <row r="10" spans="1:21" ht="15" customHeight="1" thickBot="1" x14ac:dyDescent="0.3">
      <c r="B10" s="41"/>
      <c r="C10" s="62" t="str">
        <f>A4</f>
        <v>Koetschet</v>
      </c>
      <c r="D10" s="42">
        <f>SUMIFS(Journal!$D$4:$D$10013,Journal!$B$4:$B$10013,D$6,Journal!$C$4:$C$10013,$B9)</f>
        <v>0</v>
      </c>
      <c r="E10" s="43"/>
      <c r="F10" s="42">
        <f>SUMIFS(Journal!$D$4:$D$10013,Journal!$B$4:$B$10013,F$6,Journal!$C$4:$C$10013,$B9)</f>
        <v>6.25E-2</v>
      </c>
      <c r="G10" s="43"/>
      <c r="H10" s="42">
        <f>SUMIFS(Journal!$D$4:$D$10013,Journal!$B$4:$B$10013,H$6,Journal!$C$4:$C$10013,$B9)</f>
        <v>0</v>
      </c>
      <c r="I10" s="43"/>
      <c r="J10" s="42">
        <f>SUMIFS(Journal!$D$4:$D$10013,Journal!$B$4:$B$10013,J$6,Journal!$C$4:$C$10013,$B9)</f>
        <v>0</v>
      </c>
      <c r="K10" s="43"/>
      <c r="L10" s="42">
        <f>SUMIFS(Journal!$D$4:$D$10013,Journal!$B$4:$B$10013,L$6,Journal!$C$4:$C$10013,$B9)</f>
        <v>0</v>
      </c>
      <c r="M10" s="43"/>
      <c r="N10" s="42">
        <f>SUMIFS(Journal!$D$4:$D$10013,Journal!$B$4:$B$10013,N$6,Journal!$C$4:$C$10013,$B9)</f>
        <v>0</v>
      </c>
      <c r="O10" s="43"/>
      <c r="P10" s="42">
        <f>SUMIFS(Journal!$D$4:$D$10013,Journal!$B$4:$B$10013,P$6,Journal!$C$4:$C$10013,$B9)</f>
        <v>0</v>
      </c>
      <c r="Q10" s="43"/>
      <c r="R10" s="42">
        <f>SUMIFS(Journal!$D$4:$D$10013,Journal!$B$4:$B$10013,R$6,Journal!$C$4:$C$10013,$B9)</f>
        <v>0</v>
      </c>
      <c r="S10" s="43"/>
      <c r="T10" s="42">
        <f>SUMIFS(Journal!$D$4:$D$10013,Journal!$B$4:$B$10013,T$6,Journal!$C$4:$C$10013,$B9)</f>
        <v>0</v>
      </c>
      <c r="U10" s="44">
        <f t="shared" si="0"/>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0"/>
        <v>0.10416666666666667</v>
      </c>
    </row>
    <row r="12" spans="1:21" ht="15" customHeight="1" thickBot="1" x14ac:dyDescent="0.3">
      <c r="B12" s="41"/>
      <c r="C12" s="62" t="str">
        <f>A4</f>
        <v>Koetschet</v>
      </c>
      <c r="D12" s="42">
        <f>SUMIFS(Journal!$D$4:$D$10013,Journal!$B$4:$B$10013,D$6,Journal!$C$4:$C$10013,$B11)</f>
        <v>0</v>
      </c>
      <c r="E12" s="43"/>
      <c r="F12" s="42">
        <f>SUMIFS(Journal!$D$4:$D$10013,Journal!$B$4:$B$10013,F$6,Journal!$C$4:$C$10013,$B11)</f>
        <v>9.375E-2</v>
      </c>
      <c r="G12" s="43"/>
      <c r="H12" s="42">
        <f>SUMIFS(Journal!$D$4:$D$10013,Journal!$B$4:$B$10013,H$6,Journal!$C$4:$C$10013,$B11)</f>
        <v>0</v>
      </c>
      <c r="I12" s="43"/>
      <c r="J12" s="42">
        <f>SUMIFS(Journal!$D$4:$D$10013,Journal!$B$4:$B$10013,J$6,Journal!$C$4:$C$10013,$B11)</f>
        <v>6.25E-2</v>
      </c>
      <c r="K12" s="43"/>
      <c r="L12" s="42">
        <f>SUMIFS(Journal!$D$4:$D$10013,Journal!$B$4:$B$10013,L$6,Journal!$C$4:$C$10013,$B11)</f>
        <v>0</v>
      </c>
      <c r="M12" s="43"/>
      <c r="N12" s="42">
        <f>SUMIFS(Journal!$D$4:$D$10013,Journal!$B$4:$B$10013,N$6,Journal!$C$4:$C$10013,$B11)</f>
        <v>0</v>
      </c>
      <c r="O12" s="43"/>
      <c r="P12" s="42">
        <f>SUMIFS(Journal!$D$4:$D$10013,Journal!$B$4:$B$10013,P$6,Journal!$C$4:$C$10013,$B11)</f>
        <v>0</v>
      </c>
      <c r="Q12" s="43"/>
      <c r="R12" s="42">
        <f>SUMIFS(Journal!$D$4:$D$10013,Journal!$B$4:$B$10013,R$6,Journal!$C$4:$C$10013,$B11)</f>
        <v>0</v>
      </c>
      <c r="S12" s="43"/>
      <c r="T12" s="42">
        <f>SUMIFS(Journal!$D$4:$D$10013,Journal!$B$4:$B$10013,T$6,Journal!$C$4:$C$10013,$B11)</f>
        <v>0</v>
      </c>
      <c r="U12" s="44">
        <f t="shared" si="0"/>
        <v>0.15625</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0"/>
        <v>4.1666666666666664E-2</v>
      </c>
    </row>
    <row r="14" spans="1:21" ht="15" customHeight="1" thickBot="1" x14ac:dyDescent="0.3">
      <c r="B14" s="41"/>
      <c r="C14" s="62" t="str">
        <f>A4</f>
        <v>Koetschet</v>
      </c>
      <c r="D14" s="42">
        <f>SUMIFS(Journal!$D$4:$D$10013,Journal!$B$4:$B$10013,D$6,Journal!$C$4:$C$10013,$B13)</f>
        <v>0</v>
      </c>
      <c r="E14" s="43"/>
      <c r="F14" s="42">
        <f>SUMIFS(Journal!$D$4:$D$10013,Journal!$B$4:$B$10013,F$6,Journal!$C$4:$C$10013,$B13)</f>
        <v>6.25E-2</v>
      </c>
      <c r="G14" s="43"/>
      <c r="H14" s="42">
        <f>SUMIFS(Journal!$D$4:$D$10013,Journal!$B$4:$B$10013,H$6,Journal!$C$4:$C$10013,$B13)</f>
        <v>0</v>
      </c>
      <c r="I14" s="43"/>
      <c r="J14" s="42">
        <f>SUMIFS(Journal!$D$4:$D$10013,Journal!$B$4:$B$10013,J$6,Journal!$C$4:$C$10013,$B13)</f>
        <v>0</v>
      </c>
      <c r="K14" s="43"/>
      <c r="L14" s="42">
        <f>SUMIFS(Journal!$D$4:$D$10013,Journal!$B$4:$B$10013,L$6,Journal!$C$4:$C$10013,$B13)</f>
        <v>0</v>
      </c>
      <c r="M14" s="43"/>
      <c r="N14" s="42">
        <f>SUMIFS(Journal!$D$4:$D$10013,Journal!$B$4:$B$10013,N$6,Journal!$C$4:$C$10013,$B13)</f>
        <v>0</v>
      </c>
      <c r="O14" s="43"/>
      <c r="P14" s="42">
        <f>SUMIFS(Journal!$D$4:$D$10013,Journal!$B$4:$B$10013,P$6,Journal!$C$4:$C$10013,$B13)</f>
        <v>0</v>
      </c>
      <c r="Q14" s="43"/>
      <c r="R14" s="42">
        <f>SUMIFS(Journal!$D$4:$D$10013,Journal!$B$4:$B$10013,R$6,Journal!$C$4:$C$10013,$B13)</f>
        <v>0</v>
      </c>
      <c r="S14" s="43"/>
      <c r="T14" s="42">
        <f>SUMIFS(Journal!$D$4:$D$10013,Journal!$B$4:$B$10013,T$6,Journal!$C$4:$C$10013,$B13)</f>
        <v>0</v>
      </c>
      <c r="U14" s="44">
        <f t="shared" si="0"/>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0"/>
        <v>0.10416666666666667</v>
      </c>
    </row>
    <row r="16" spans="1:21" ht="15" customHeight="1" thickBot="1" x14ac:dyDescent="0.3">
      <c r="B16" s="41"/>
      <c r="C16" s="62" t="str">
        <f>A4</f>
        <v>Koetschet</v>
      </c>
      <c r="D16" s="42">
        <f>SUMIFS(Journal!$D$4:$D$10013,Journal!$B$4:$B$10013,D$6,Journal!$C$4:$C$10013,$B15)</f>
        <v>0</v>
      </c>
      <c r="E16" s="43"/>
      <c r="F16" s="42">
        <f>SUMIFS(Journal!$D$4:$D$10013,Journal!$B$4:$B$10013,F$6,Journal!$C$4:$C$10013,$B15)</f>
        <v>0.15625</v>
      </c>
      <c r="G16" s="43"/>
      <c r="H16" s="42">
        <f>SUMIFS(Journal!$D$4:$D$10013,Journal!$B$4:$B$10013,H$6,Journal!$C$4:$C$10013,$B15)</f>
        <v>0</v>
      </c>
      <c r="I16" s="43"/>
      <c r="J16" s="42">
        <f>SUMIFS(Journal!$D$4:$D$10013,Journal!$B$4:$B$10013,J$6,Journal!$C$4:$C$10013,$B15)</f>
        <v>0</v>
      </c>
      <c r="K16" s="43"/>
      <c r="L16" s="42">
        <f>SUMIFS(Journal!$D$4:$D$10013,Journal!$B$4:$B$10013,L$6,Journal!$C$4:$C$10013,$B15)</f>
        <v>0</v>
      </c>
      <c r="M16" s="43"/>
      <c r="N16" s="42">
        <f>SUMIFS(Journal!$D$4:$D$10013,Journal!$B$4:$B$10013,N$6,Journal!$C$4:$C$10013,$B15)</f>
        <v>0</v>
      </c>
      <c r="O16" s="43"/>
      <c r="P16" s="42">
        <f>SUMIFS(Journal!$D$4:$D$10013,Journal!$B$4:$B$10013,P$6,Journal!$C$4:$C$10013,$B15)</f>
        <v>0</v>
      </c>
      <c r="Q16" s="43"/>
      <c r="R16" s="42">
        <f>SUMIFS(Journal!$D$4:$D$10013,Journal!$B$4:$B$10013,R$6,Journal!$C$4:$C$10013,$B15)</f>
        <v>0</v>
      </c>
      <c r="S16" s="43"/>
      <c r="T16" s="42">
        <f>SUMIFS(Journal!$D$4:$D$10013,Journal!$B$4:$B$10013,T$6,Journal!$C$4:$C$10013,$B15)</f>
        <v>0</v>
      </c>
      <c r="U16" s="44">
        <f t="shared" si="0"/>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0"/>
        <v>6.25E-2</v>
      </c>
    </row>
    <row r="18" spans="1:21" ht="15" customHeight="1" thickBot="1" x14ac:dyDescent="0.3">
      <c r="B18" s="41"/>
      <c r="C18" s="62" t="str">
        <f>A4</f>
        <v>Koetschet</v>
      </c>
      <c r="D18" s="42">
        <f>SUMIFS(Journal!$D$4:$D$10013,Journal!$B$4:$B$10013,D$6,Journal!$C$4:$C$10013,$B17)</f>
        <v>0</v>
      </c>
      <c r="E18" s="43"/>
      <c r="F18" s="42">
        <f>SUMIFS(Journal!$D$4:$D$10013,Journal!$B$4:$B$10013,F$6,Journal!$C$4:$C$10013,$B17)</f>
        <v>0</v>
      </c>
      <c r="G18" s="43"/>
      <c r="H18" s="42">
        <f>SUMIFS(Journal!$D$4:$D$10013,Journal!$B$4:$B$10013,H$6,Journal!$C$4:$C$10013,$B17)</f>
        <v>0</v>
      </c>
      <c r="I18" s="43"/>
      <c r="J18" s="42">
        <f>SUMIFS(Journal!$D$4:$D$10013,Journal!$B$4:$B$10013,J$6,Journal!$C$4:$C$10013,$B17)</f>
        <v>9.375E-2</v>
      </c>
      <c r="K18" s="43"/>
      <c r="L18" s="42">
        <f>SUMIFS(Journal!$D$4:$D$10013,Journal!$B$4:$B$10013,L$6,Journal!$C$4:$C$10013,$B17)</f>
        <v>0</v>
      </c>
      <c r="M18" s="43"/>
      <c r="N18" s="42">
        <f>SUMIFS(Journal!$D$4:$D$10013,Journal!$B$4:$B$10013,N$6,Journal!$C$4:$C$10013,$B17)</f>
        <v>0</v>
      </c>
      <c r="O18" s="43"/>
      <c r="P18" s="42">
        <f>SUMIFS(Journal!$D$4:$D$10013,Journal!$B$4:$B$10013,P$6,Journal!$C$4:$C$10013,$B17)</f>
        <v>0</v>
      </c>
      <c r="Q18" s="43"/>
      <c r="R18" s="42">
        <f>SUMIFS(Journal!$D$4:$D$10013,Journal!$B$4:$B$10013,R$6,Journal!$C$4:$C$10013,$B17)</f>
        <v>0</v>
      </c>
      <c r="S18" s="43"/>
      <c r="T18" s="42">
        <f>SUMIFS(Journal!$D$4:$D$10013,Journal!$B$4:$B$10013,T$6,Journal!$C$4:$C$10013,$B17)</f>
        <v>0</v>
      </c>
      <c r="U18" s="44">
        <f t="shared" si="0"/>
        <v>9.375E-2</v>
      </c>
    </row>
    <row r="19" spans="1:21" ht="15" customHeight="1" x14ac:dyDescent="0.25">
      <c r="B19" s="5" t="str">
        <f>Base!G9</f>
        <v>16 Création projet test Native Script</v>
      </c>
      <c r="C19" s="38" t="str">
        <f>A$3</f>
        <v>Prévu</v>
      </c>
      <c r="D19" s="46"/>
      <c r="E19" s="39"/>
      <c r="F19" s="46"/>
      <c r="G19" s="39"/>
      <c r="H19" s="46">
        <v>0.10416666666666667</v>
      </c>
      <c r="I19" s="39"/>
      <c r="J19" s="46"/>
      <c r="K19" s="39"/>
      <c r="L19" s="46"/>
      <c r="M19" s="39"/>
      <c r="N19" s="46"/>
      <c r="O19" s="39"/>
      <c r="P19" s="46"/>
      <c r="Q19" s="39"/>
      <c r="R19" s="46"/>
      <c r="S19" s="39"/>
      <c r="T19" s="46"/>
      <c r="U19" s="40">
        <f t="shared" ref="U19:U26" si="1">IF(SUM(D19:T19)=0,"",SUM(D19:T19))</f>
        <v>0.10416666666666667</v>
      </c>
    </row>
    <row r="20" spans="1:21" ht="15" customHeight="1" thickBot="1" x14ac:dyDescent="0.3">
      <c r="B20" s="41"/>
      <c r="C20" s="62" t="str">
        <f>A4</f>
        <v>Koetschet</v>
      </c>
      <c r="D20" s="42">
        <f>SUMIFS(Journal!$D$4:$D$10013,Journal!$B$4:$B$10013,D$6,Journal!$C$4:$C$10013,$B19)</f>
        <v>0</v>
      </c>
      <c r="E20" s="43"/>
      <c r="F20" s="42">
        <f>SUMIFS(Journal!$D$4:$D$10013,Journal!$B$4:$B$10013,F$6,Journal!$C$4:$C$10013,$B19)</f>
        <v>0</v>
      </c>
      <c r="G20" s="43"/>
      <c r="H20" s="42">
        <f>SUMIFS(Journal!$D$4:$D$10013,Journal!$B$4:$B$10013,H$6,Journal!$C$4:$C$10013,$B19)</f>
        <v>0</v>
      </c>
      <c r="I20" s="43"/>
      <c r="J20" s="42">
        <f>SUMIFS(Journal!$D$4:$D$10013,Journal!$B$4:$B$10013,J$6,Journal!$C$4:$C$10013,$B19)</f>
        <v>6.25E-2</v>
      </c>
      <c r="K20" s="43"/>
      <c r="L20" s="42">
        <f>SUMIFS(Journal!$D$4:$D$10013,Journal!$B$4:$B$10013,L$6,Journal!$C$4:$C$10013,$B19)</f>
        <v>0</v>
      </c>
      <c r="M20" s="43"/>
      <c r="N20" s="42">
        <f>SUMIFS(Journal!$D$4:$D$10013,Journal!$B$4:$B$10013,N$6,Journal!$C$4:$C$10013,$B19)</f>
        <v>0</v>
      </c>
      <c r="O20" s="43"/>
      <c r="P20" s="42">
        <f>SUMIFS(Journal!$D$4:$D$10013,Journal!$B$4:$B$10013,P$6,Journal!$C$4:$C$10013,$B19)</f>
        <v>0</v>
      </c>
      <c r="Q20" s="43"/>
      <c r="R20" s="42">
        <f>SUMIFS(Journal!$D$4:$D$10013,Journal!$B$4:$B$10013,R$6,Journal!$C$4:$C$10013,$B19)</f>
        <v>0</v>
      </c>
      <c r="S20" s="43"/>
      <c r="T20" s="42">
        <f>SUMIFS(Journal!$D$4:$D$10013,Journal!$B$4:$B$10013,T$6,Journal!$C$4:$C$10013,$B19)</f>
        <v>0</v>
      </c>
      <c r="U20" s="44">
        <f t="shared" si="1"/>
        <v>6.25E-2</v>
      </c>
    </row>
    <row r="21" spans="1:21" ht="15" customHeight="1" x14ac:dyDescent="0.25">
      <c r="B21" s="5" t="str">
        <f>Base!G10</f>
        <v>17 Installation Flutter</v>
      </c>
      <c r="C21" s="38" t="str">
        <f>A$3</f>
        <v>Prévu</v>
      </c>
      <c r="D21" s="46"/>
      <c r="E21" s="39"/>
      <c r="F21" s="46"/>
      <c r="G21" s="39"/>
      <c r="I21" s="39"/>
      <c r="J21" s="46">
        <v>6.25E-2</v>
      </c>
      <c r="K21" s="39"/>
      <c r="L21" s="46"/>
      <c r="M21" s="39"/>
      <c r="N21" s="46"/>
      <c r="O21" s="39"/>
      <c r="P21" s="46"/>
      <c r="Q21" s="39"/>
      <c r="R21" s="46"/>
      <c r="S21" s="39"/>
      <c r="T21" s="46"/>
      <c r="U21" s="40">
        <f t="shared" si="1"/>
        <v>6.25E-2</v>
      </c>
    </row>
    <row r="22" spans="1:21" ht="15" customHeight="1" thickBot="1" x14ac:dyDescent="0.3">
      <c r="B22" s="41"/>
      <c r="C22" s="91" t="str">
        <f>A4</f>
        <v>Koetschet</v>
      </c>
      <c r="D22" s="42">
        <f>SUMIFS(Journal!$D$4:$D$10013,Journal!$B$4:$B$10013,D$6,Journal!$C$4:$C$10013,$B21)</f>
        <v>0</v>
      </c>
      <c r="E22" s="43"/>
      <c r="F22" s="42">
        <f>SUMIFS(Journal!$D$4:$D$10013,Journal!$B$4:$B$10013,F$6,Journal!$C$4:$C$10013,$B21)</f>
        <v>0</v>
      </c>
      <c r="G22" s="43"/>
      <c r="H22" s="42">
        <f>SUMIFS(Journal!$D$4:$D$10013,Journal!$B$4:$B$10013,H$6,Journal!$C$4:$C$10013,$B21)</f>
        <v>0</v>
      </c>
      <c r="I22" s="43"/>
      <c r="J22" s="42">
        <f>SUMIFS(Journal!$D$4:$D$10013,Journal!$B$4:$B$10013,J$6,Journal!$C$4:$C$10013,$B21)</f>
        <v>0</v>
      </c>
      <c r="K22" s="43"/>
      <c r="L22" s="42">
        <f>SUMIFS(Journal!$D$4:$D$10013,Journal!$B$4:$B$10013,L$6,Journal!$C$4:$C$10013,$B21)</f>
        <v>0</v>
      </c>
      <c r="M22" s="43"/>
      <c r="N22" s="42">
        <f>SUMIFS(Journal!$D$4:$D$10013,Journal!$B$4:$B$10013,N$6,Journal!$C$4:$C$10013,$B21)</f>
        <v>0</v>
      </c>
      <c r="O22" s="43"/>
      <c r="P22" s="42">
        <f>SUMIFS(Journal!$D$4:$D$10013,Journal!$B$4:$B$10013,P$6,Journal!$C$4:$C$10013,$B21)</f>
        <v>0</v>
      </c>
      <c r="Q22" s="43"/>
      <c r="R22" s="42">
        <f>SUMIFS(Journal!$D$4:$D$10013,Journal!$B$4:$B$10013,R$6,Journal!$C$4:$C$10013,$B21)</f>
        <v>0</v>
      </c>
      <c r="S22" s="43"/>
      <c r="T22" s="42">
        <f>SUMIFS(Journal!$D$4:$D$10013,Journal!$B$4:$B$10013,T$6,Journal!$C$4:$C$10013,$B21)</f>
        <v>0</v>
      </c>
      <c r="U22" s="44" t="str">
        <f t="shared" si="1"/>
        <v/>
      </c>
    </row>
    <row r="23" spans="1:21" ht="15" customHeight="1" x14ac:dyDescent="0.25">
      <c r="B23" s="5" t="str">
        <f>Base!G11</f>
        <v>18 Création projet test Flutter</v>
      </c>
      <c r="C23" s="38" t="str">
        <f>A$3</f>
        <v>Prévu</v>
      </c>
      <c r="D23" s="46"/>
      <c r="E23" s="39"/>
      <c r="F23" s="46"/>
      <c r="G23" s="39"/>
      <c r="H23" s="46"/>
      <c r="I23" s="39"/>
      <c r="J23" s="46">
        <v>0.10416666666666667</v>
      </c>
      <c r="K23" s="39"/>
      <c r="L23" s="46"/>
      <c r="M23" s="39"/>
      <c r="N23" s="46"/>
      <c r="O23" s="39"/>
      <c r="P23" s="46"/>
      <c r="Q23" s="39"/>
      <c r="R23" s="46"/>
      <c r="S23" s="39"/>
      <c r="T23" s="46"/>
      <c r="U23" s="40">
        <f t="shared" si="1"/>
        <v>0.10416666666666667</v>
      </c>
    </row>
    <row r="24" spans="1:21" ht="15" customHeight="1" thickBot="1" x14ac:dyDescent="0.3">
      <c r="B24" s="41"/>
      <c r="C24" s="91" t="str">
        <f>A4</f>
        <v>Koetschet</v>
      </c>
      <c r="D24" s="42">
        <f>SUMIFS(Journal!$D$4:$D$10013,Journal!$B$4:$B$10013,D$6,Journal!$C$4:$C$10013,$B23)</f>
        <v>0</v>
      </c>
      <c r="E24" s="43"/>
      <c r="F24" s="42">
        <f>SUMIFS(Journal!$D$4:$D$10013,Journal!$B$4:$B$10013,F$6,Journal!$C$4:$C$10013,$B23)</f>
        <v>0</v>
      </c>
      <c r="G24" s="43"/>
      <c r="H24" s="42">
        <f>SUMIFS(Journal!$D$4:$D$10013,Journal!$B$4:$B$10013,H$6,Journal!$C$4:$C$10013,$B23)</f>
        <v>0</v>
      </c>
      <c r="I24" s="43"/>
      <c r="J24" s="42">
        <f>SUMIFS(Journal!$D$4:$D$10013,Journal!$B$4:$B$10013,J$6,Journal!$C$4:$C$10013,$B23)</f>
        <v>0</v>
      </c>
      <c r="K24" s="43"/>
      <c r="L24" s="42">
        <f>SUMIFS(Journal!$D$4:$D$10013,Journal!$B$4:$B$10013,L$6,Journal!$C$4:$C$10013,$B23)</f>
        <v>0</v>
      </c>
      <c r="M24" s="43"/>
      <c r="N24" s="42">
        <f>SUMIFS(Journal!$D$4:$D$10013,Journal!$B$4:$B$10013,N$6,Journal!$C$4:$C$10013,$B23)</f>
        <v>0</v>
      </c>
      <c r="O24" s="43"/>
      <c r="P24" s="42">
        <f>SUMIFS(Journal!$D$4:$D$10013,Journal!$B$4:$B$10013,P$6,Journal!$C$4:$C$10013,$B23)</f>
        <v>0</v>
      </c>
      <c r="Q24" s="43"/>
      <c r="R24" s="42">
        <f>SUMIFS(Journal!$D$4:$D$10013,Journal!$B$4:$B$10013,R$6,Journal!$C$4:$C$10013,$B23)</f>
        <v>0</v>
      </c>
      <c r="S24" s="43"/>
      <c r="T24" s="42">
        <f>SUMIFS(Journal!$D$4:$D$10013,Journal!$B$4:$B$10013,T$6,Journal!$C$4:$C$10013,$B23)</f>
        <v>0</v>
      </c>
      <c r="U24" s="44" t="str">
        <f t="shared" si="1"/>
        <v/>
      </c>
    </row>
    <row r="25" spans="1:21" ht="15" customHeight="1" x14ac:dyDescent="0.25">
      <c r="B25" s="5" t="str">
        <f>Base!G12</f>
        <v>19 Comparaison et choix du meilleur framework</v>
      </c>
      <c r="C25" s="38" t="str">
        <f>A$3</f>
        <v>Prévu</v>
      </c>
      <c r="D25" s="46"/>
      <c r="E25" s="39"/>
      <c r="F25" s="46"/>
      <c r="G25" s="39"/>
      <c r="H25" s="46"/>
      <c r="I25" s="39"/>
      <c r="J25" s="46">
        <v>2.0833333333333332E-2</v>
      </c>
      <c r="K25" s="39"/>
      <c r="L25" s="46"/>
      <c r="M25" s="39"/>
      <c r="N25" s="46"/>
      <c r="O25" s="39"/>
      <c r="P25" s="46"/>
      <c r="Q25" s="39"/>
      <c r="R25" s="46"/>
      <c r="S25" s="39"/>
      <c r="T25" s="46"/>
      <c r="U25" s="40">
        <f t="shared" si="1"/>
        <v>2.0833333333333332E-2</v>
      </c>
    </row>
    <row r="26" spans="1:21" ht="15" customHeight="1" thickBot="1" x14ac:dyDescent="0.3">
      <c r="B26" s="41"/>
      <c r="C26" s="91" t="str">
        <f>A4</f>
        <v>Koetschet</v>
      </c>
      <c r="D26" s="42">
        <f>SUMIFS(Journal!$D$4:$D$10013,Journal!$B$4:$B$10013,D$6,Journal!$C$4:$C$10013,$B25)</f>
        <v>0</v>
      </c>
      <c r="E26" s="43"/>
      <c r="F26" s="42">
        <f>SUMIFS(Journal!$D$4:$D$10013,Journal!$B$4:$B$10013,F$6,Journal!$C$4:$C$10013,$B25)</f>
        <v>0</v>
      </c>
      <c r="G26" s="43"/>
      <c r="H26" s="42">
        <f>SUMIFS(Journal!$D$4:$D$10013,Journal!$B$4:$B$10013,H$6,Journal!$C$4:$C$10013,$B25)</f>
        <v>0</v>
      </c>
      <c r="I26" s="43"/>
      <c r="J26" s="42">
        <f>SUMIFS(Journal!$D$4:$D$10013,Journal!$B$4:$B$10013,J$6,Journal!$C$4:$C$10013,$B25)</f>
        <v>0</v>
      </c>
      <c r="K26" s="43"/>
      <c r="L26" s="42">
        <f>SUMIFS(Journal!$D$4:$D$10013,Journal!$B$4:$B$10013,L$6,Journal!$C$4:$C$10013,$B25)</f>
        <v>0</v>
      </c>
      <c r="M26" s="43"/>
      <c r="N26" s="42">
        <f>SUMIFS(Journal!$D$4:$D$10013,Journal!$B$4:$B$10013,N$6,Journal!$C$4:$C$10013,$B25)</f>
        <v>0</v>
      </c>
      <c r="O26" s="43"/>
      <c r="P26" s="42">
        <f>SUMIFS(Journal!$D$4:$D$10013,Journal!$B$4:$B$10013,P$6,Journal!$C$4:$C$10013,$B25)</f>
        <v>0</v>
      </c>
      <c r="Q26" s="43"/>
      <c r="R26" s="42">
        <f>SUMIFS(Journal!$D$4:$D$10013,Journal!$B$4:$B$10013,R$6,Journal!$C$4:$C$10013,$B25)</f>
        <v>0</v>
      </c>
      <c r="S26" s="43"/>
      <c r="T26" s="42">
        <f>SUMIFS(Journal!$D$4:$D$10013,Journal!$B$4:$B$10013,T$6,Journal!$C$4:$C$10013,$B25)</f>
        <v>0</v>
      </c>
      <c r="U26" s="44" t="str">
        <f t="shared" si="1"/>
        <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SUMIFS(Journal!$D$4:$D$10013,Journal!$B$4:$B$10013,D$6,Journal!$C$4:$C$10013,$B29)</f>
        <v>0</v>
      </c>
      <c r="E30" s="43"/>
      <c r="F30" s="42">
        <f>SUMIFS(Journal!$D$4:$D$10013,Journal!$B$4:$B$10013,F$6,Journal!$C$4:$C$10013,$B29)</f>
        <v>0</v>
      </c>
      <c r="G30" s="43"/>
      <c r="H30" s="42">
        <f>SUMIFS(Journal!$D$4:$D$10013,Journal!$B$4:$B$10013,H$6,Journal!$C$4:$C$10013,$B29)</f>
        <v>3.125E-2</v>
      </c>
      <c r="I30" s="43"/>
      <c r="J30" s="42">
        <f>SUMIFS(Journal!$D$4:$D$10013,Journal!$B$4:$B$10013,J$6,Journal!$C$4:$C$10013,$B29)</f>
        <v>0</v>
      </c>
      <c r="K30" s="43"/>
      <c r="L30" s="42">
        <f>SUMIFS(Journal!$D$4:$D$10013,Journal!$B$4:$B$10013,L$6,Journal!$C$4:$C$10013,$B29)</f>
        <v>0</v>
      </c>
      <c r="M30" s="43"/>
      <c r="N30" s="42">
        <f>SUMIFS(Journal!$D$4:$D$10013,Journal!$B$4:$B$10013,N$6,Journal!$C$4:$C$10013,$B29)</f>
        <v>0</v>
      </c>
      <c r="O30" s="43"/>
      <c r="P30" s="42">
        <f>SUMIFS(Journal!$D$4:$D$10013,Journal!$B$4:$B$10013,P$6,Journal!$C$4:$C$10013,$B29)</f>
        <v>0</v>
      </c>
      <c r="Q30" s="43"/>
      <c r="R30" s="42">
        <f>SUMIFS(Journal!$D$4:$D$10013,Journal!$B$4:$B$10013,R$6,Journal!$C$4:$C$10013,$B29)</f>
        <v>0</v>
      </c>
      <c r="S30" s="43"/>
      <c r="T30" s="42">
        <f>SUMIFS(Journal!$D$4:$D$10013,Journal!$B$4:$B$10013,T$6,Journal!$C$4:$C$10013,$B29)</f>
        <v>0</v>
      </c>
      <c r="U30" s="44">
        <f>IF(SUM(D30:T30)=0,"",SUM(D30:T30))</f>
        <v>3.125E-2</v>
      </c>
    </row>
    <row r="31" spans="1:21" ht="15" customHeight="1" x14ac:dyDescent="0.25">
      <c r="B31" s="5" t="str">
        <f>Base!G14</f>
        <v>22 Conception MLD</v>
      </c>
      <c r="C31" s="38" t="str">
        <f>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SUMIFS(Journal!$D$4:$D$10013,Journal!$B$4:$B$10013,D$6,Journal!$C$4:$C$10013,$B31)</f>
        <v>0</v>
      </c>
      <c r="E32" s="43"/>
      <c r="F32" s="42">
        <f>SUMIFS(Journal!$D$4:$D$10013,Journal!$B$4:$B$10013,F$6,Journal!$C$4:$C$10013,$B31)</f>
        <v>0</v>
      </c>
      <c r="G32" s="43"/>
      <c r="H32" s="42">
        <f>SUMIFS(Journal!$D$4:$D$10013,Journal!$B$4:$B$10013,H$6,Journal!$C$4:$C$10013,$B31)</f>
        <v>3.125E-2</v>
      </c>
      <c r="I32" s="43"/>
      <c r="J32" s="42">
        <f>SUMIFS(Journal!$D$4:$D$10013,Journal!$B$4:$B$10013,J$6,Journal!$C$4:$C$10013,$B31)</f>
        <v>0</v>
      </c>
      <c r="K32" s="43"/>
      <c r="L32" s="42">
        <f>SUMIFS(Journal!$D$4:$D$10013,Journal!$B$4:$B$10013,L$6,Journal!$C$4:$C$10013,$B31)</f>
        <v>0</v>
      </c>
      <c r="M32" s="43"/>
      <c r="N32" s="42">
        <f>SUMIFS(Journal!$D$4:$D$10013,Journal!$B$4:$B$10013,N$6,Journal!$C$4:$C$10013,$B31)</f>
        <v>0</v>
      </c>
      <c r="O32" s="43"/>
      <c r="P32" s="42">
        <f>SUMIFS(Journal!$D$4:$D$10013,Journal!$B$4:$B$10013,P$6,Journal!$C$4:$C$10013,$B31)</f>
        <v>0</v>
      </c>
      <c r="Q32" s="43"/>
      <c r="R32" s="42">
        <f>SUMIFS(Journal!$D$4:$D$10013,Journal!$B$4:$B$10013,R$6,Journal!$C$4:$C$10013,$B31)</f>
        <v>0</v>
      </c>
      <c r="S32" s="43"/>
      <c r="T32" s="42">
        <f>SUMIFS(Journal!$D$4:$D$10013,Journal!$B$4:$B$10013,T$6,Journal!$C$4:$C$10013,$B31)</f>
        <v>0</v>
      </c>
      <c r="U32" s="44">
        <f t="shared" ref="U32:U38" si="2">IF(SUM(D32:T32)=0,"",SUM(D32:T32))</f>
        <v>3.125E-2</v>
      </c>
    </row>
    <row r="33" spans="1:21" ht="15" customHeight="1" x14ac:dyDescent="0.25">
      <c r="B33" s="5" t="str">
        <f>Base!G15</f>
        <v>23 Création de la DB</v>
      </c>
      <c r="C33" s="38" t="str">
        <f>A$3</f>
        <v>Prévu</v>
      </c>
      <c r="D33" s="46"/>
      <c r="E33" s="39"/>
      <c r="F33" s="46"/>
      <c r="G33" s="39"/>
      <c r="H33" s="46">
        <v>3.125E-2</v>
      </c>
      <c r="I33" s="39"/>
      <c r="K33" s="39"/>
      <c r="L33" s="46"/>
      <c r="M33" s="39"/>
      <c r="N33" s="46"/>
      <c r="O33" s="39"/>
      <c r="P33" s="46"/>
      <c r="Q33" s="39"/>
      <c r="R33" s="46"/>
      <c r="S33" s="39"/>
      <c r="T33" s="46"/>
      <c r="U33" s="40">
        <f t="shared" si="2"/>
        <v>3.125E-2</v>
      </c>
    </row>
    <row r="34" spans="1:21" ht="15" customHeight="1" thickBot="1" x14ac:dyDescent="0.3">
      <c r="B34" s="41"/>
      <c r="C34" s="62" t="str">
        <f>A4</f>
        <v>Koetschet</v>
      </c>
      <c r="D34" s="42">
        <f>SUMIFS(Journal!$D$4:$D$10013,Journal!$B$4:$B$10013,D$6,Journal!$C$4:$C$10013,$B33)</f>
        <v>0</v>
      </c>
      <c r="E34" s="43"/>
      <c r="F34" s="42">
        <f>SUMIFS(Journal!$D$4:$D$10013,Journal!$B$4:$B$10013,F$6,Journal!$C$4:$C$10013,$B33)</f>
        <v>0</v>
      </c>
      <c r="G34" s="43"/>
      <c r="H34" s="42">
        <f>SUMIFS(Journal!$D$4:$D$10013,Journal!$B$4:$B$10013,H$6,Journal!$C$4:$C$10013,$B33)</f>
        <v>6.25E-2</v>
      </c>
      <c r="I34" s="43"/>
      <c r="J34" s="42">
        <f>SUMIFS(Journal!$D$4:$D$10013,Journal!$B$4:$B$10013,J$6,Journal!$C$4:$C$10013,$B33)</f>
        <v>0</v>
      </c>
      <c r="K34" s="43"/>
      <c r="L34" s="42">
        <f>SUMIFS(Journal!$D$4:$D$10013,Journal!$B$4:$B$10013,L$6,Journal!$C$4:$C$10013,$B33)</f>
        <v>0</v>
      </c>
      <c r="M34" s="43"/>
      <c r="N34" s="42">
        <f>SUMIFS(Journal!$D$4:$D$10013,Journal!$B$4:$B$10013,N$6,Journal!$C$4:$C$10013,$B33)</f>
        <v>0</v>
      </c>
      <c r="O34" s="43"/>
      <c r="P34" s="42">
        <f>SUMIFS(Journal!$D$4:$D$10013,Journal!$B$4:$B$10013,P$6,Journal!$C$4:$C$10013,$B33)</f>
        <v>0</v>
      </c>
      <c r="Q34" s="43"/>
      <c r="R34" s="42">
        <f>SUMIFS(Journal!$D$4:$D$10013,Journal!$B$4:$B$10013,R$6,Journal!$C$4:$C$10013,$B33)</f>
        <v>0</v>
      </c>
      <c r="S34" s="43"/>
      <c r="T34" s="42">
        <f>SUMIFS(Journal!$D$4:$D$10013,Journal!$B$4:$B$10013,T$6,Journal!$C$4:$C$10013,$B33)</f>
        <v>0</v>
      </c>
      <c r="U34" s="44">
        <f t="shared" si="2"/>
        <v>6.25E-2</v>
      </c>
    </row>
    <row r="35" spans="1:21" ht="15" customHeight="1" x14ac:dyDescent="0.25">
      <c r="B35" s="5" t="str">
        <f>Base!G16</f>
        <v>24 Hébergement de la DB sur un serveur</v>
      </c>
      <c r="C35" s="38" t="str">
        <f>A$3</f>
        <v>Prévu</v>
      </c>
      <c r="D35" s="46"/>
      <c r="E35" s="39"/>
      <c r="F35" s="46"/>
      <c r="G35" s="39"/>
      <c r="H35" s="46"/>
      <c r="I35" s="39"/>
      <c r="J35" s="46">
        <v>2.0833333333333332E-2</v>
      </c>
      <c r="K35" s="39"/>
      <c r="L35" s="46"/>
      <c r="M35" s="39"/>
      <c r="N35" s="46"/>
      <c r="O35" s="39"/>
      <c r="P35" s="46"/>
      <c r="Q35" s="39"/>
      <c r="R35" s="46"/>
      <c r="S35" s="39"/>
      <c r="T35" s="46"/>
      <c r="U35" s="40">
        <f t="shared" si="2"/>
        <v>2.0833333333333332E-2</v>
      </c>
    </row>
    <row r="36" spans="1:21" ht="15" customHeight="1" thickBot="1" x14ac:dyDescent="0.3">
      <c r="B36" s="41"/>
      <c r="C36" s="62" t="str">
        <f>A4</f>
        <v>Koetschet</v>
      </c>
      <c r="D36" s="42">
        <f>SUMIFS(Journal!$D$4:$D$10013,Journal!$B$4:$B$10013,D$6,Journal!$C$4:$C$10013,$B35)</f>
        <v>0</v>
      </c>
      <c r="E36" s="43"/>
      <c r="F36" s="42">
        <f>SUMIFS(Journal!$D$4:$D$10013,Journal!$B$4:$B$10013,F$6,Journal!$C$4:$C$10013,$B35)</f>
        <v>0</v>
      </c>
      <c r="G36" s="43"/>
      <c r="H36" s="42">
        <f>SUMIFS(Journal!$D$4:$D$10013,Journal!$B$4:$B$10013,H$6,Journal!$C$4:$C$10013,$B35)</f>
        <v>0</v>
      </c>
      <c r="I36" s="43"/>
      <c r="J36" s="42">
        <f>SUMIFS(Journal!$D$4:$D$10013,Journal!$B$4:$B$10013,J$6,Journal!$C$4:$C$10013,$B35)</f>
        <v>0</v>
      </c>
      <c r="K36" s="43"/>
      <c r="L36" s="42">
        <f>SUMIFS(Journal!$D$4:$D$10013,Journal!$B$4:$B$10013,L$6,Journal!$C$4:$C$10013,$B35)</f>
        <v>0</v>
      </c>
      <c r="M36" s="43"/>
      <c r="N36" s="42">
        <f>SUMIFS(Journal!$D$4:$D$10013,Journal!$B$4:$B$10013,N$6,Journal!$C$4:$C$10013,$B35)</f>
        <v>0</v>
      </c>
      <c r="O36" s="43"/>
      <c r="P36" s="42">
        <f>SUMIFS(Journal!$D$4:$D$10013,Journal!$B$4:$B$10013,P$6,Journal!$C$4:$C$10013,$B35)</f>
        <v>0</v>
      </c>
      <c r="Q36" s="43"/>
      <c r="R36" s="42">
        <f>SUMIFS(Journal!$D$4:$D$10013,Journal!$B$4:$B$10013,R$6,Journal!$C$4:$C$10013,$B35)</f>
        <v>0</v>
      </c>
      <c r="S36" s="43"/>
      <c r="T36" s="42">
        <f>SUMIFS(Journal!$D$4:$D$10013,Journal!$B$4:$B$10013,T$6,Journal!$C$4:$C$10013,$B35)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91"/>
      <c r="D38" s="42">
        <f>SUMIFS(Journal!$D$4:$D$10013,Journal!$B$4:$B$10013,D$6,Journal!$C$4:$C$10013,$B37)</f>
        <v>0</v>
      </c>
      <c r="E38" s="43"/>
      <c r="F38" s="42">
        <f>SUMIFS(Journal!$D$4:$D$10013,Journal!$B$4:$B$10013,F$6,Journal!$C$4:$C$10013,$B37)</f>
        <v>0</v>
      </c>
      <c r="G38" s="43"/>
      <c r="H38" s="42">
        <f>SUMIFS(Journal!$D$4:$D$10013,Journal!$B$4:$B$10013,H$6,Journal!$C$4:$C$10013,$B37)</f>
        <v>0</v>
      </c>
      <c r="I38" s="43"/>
      <c r="J38" s="42">
        <f>SUMIFS(Journal!$D$4:$D$10013,Journal!$B$4:$B$10013,J$6,Journal!$C$4:$C$10013,$B37)</f>
        <v>0</v>
      </c>
      <c r="K38" s="43"/>
      <c r="L38" s="42">
        <f>SUMIFS(Journal!$D$4:$D$10013,Journal!$B$4:$B$10013,L$6,Journal!$C$4:$C$10013,$B37)</f>
        <v>0</v>
      </c>
      <c r="M38" s="43"/>
      <c r="N38" s="42">
        <f>SUMIFS(Journal!$D$4:$D$10013,Journal!$B$4:$B$10013,N$6,Journal!$C$4:$C$10013,$B37)</f>
        <v>0</v>
      </c>
      <c r="O38" s="43"/>
      <c r="P38" s="42">
        <f>SUMIFS(Journal!$D$4:$D$10013,Journal!$B$4:$B$10013,P$6,Journal!$C$4:$C$10013,$B37)</f>
        <v>0</v>
      </c>
      <c r="Q38" s="43"/>
      <c r="R38" s="42">
        <f>SUMIFS(Journal!$D$4:$D$10013,Journal!$B$4:$B$10013,R$6,Journal!$C$4:$C$10013,$B37)</f>
        <v>0</v>
      </c>
      <c r="S38" s="43"/>
      <c r="T38" s="42">
        <f>SUMIFS(Journal!$D$4:$D$10013,Journal!$B$4:$B$10013,T$6,Journal!$C$4:$C$10013,$B37)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91"/>
      <c r="D40" s="42">
        <f>SUMIFS(Journal!$D$4:$D$10013,Journal!$B$4:$B$10013,D$6,Journal!$C$4:$C$10013,$B39)</f>
        <v>0</v>
      </c>
      <c r="E40" s="43"/>
      <c r="F40" s="42">
        <f>SUMIFS(Journal!$D$4:$D$10013,Journal!$B$4:$B$10013,F$6,Journal!$C$4:$C$10013,$B39)</f>
        <v>0</v>
      </c>
      <c r="G40" s="43"/>
      <c r="H40" s="42">
        <f>SUMIFS(Journal!$D$4:$D$10013,Journal!$B$4:$B$10013,H$6,Journal!$C$4:$C$10013,$B39)</f>
        <v>0</v>
      </c>
      <c r="I40" s="43"/>
      <c r="J40" s="42">
        <f>SUMIFS(Journal!$D$4:$D$10013,Journal!$B$4:$B$10013,J$6,Journal!$C$4:$C$10013,$B39)</f>
        <v>0</v>
      </c>
      <c r="K40" s="43"/>
      <c r="L40" s="42">
        <f>SUMIFS(Journal!$D$4:$D$10013,Journal!$B$4:$B$10013,L$6,Journal!$C$4:$C$10013,$B39)</f>
        <v>0</v>
      </c>
      <c r="M40" s="43"/>
      <c r="N40" s="42">
        <f>SUMIFS(Journal!$D$4:$D$10013,Journal!$B$4:$B$10013,N$6,Journal!$C$4:$C$10013,$B39)</f>
        <v>0</v>
      </c>
      <c r="O40" s="43"/>
      <c r="P40" s="42">
        <f>SUMIFS(Journal!$D$4:$D$10013,Journal!$B$4:$B$10013,P$6,Journal!$C$4:$C$10013,$B39)</f>
        <v>0</v>
      </c>
      <c r="Q40" s="43"/>
      <c r="R40" s="42">
        <f>SUMIFS(Journal!$D$4:$D$10013,Journal!$B$4:$B$10013,R$6,Journal!$C$4:$C$10013,$B39)</f>
        <v>0</v>
      </c>
      <c r="S40" s="43"/>
      <c r="T40" s="42">
        <f>SUMIFS(Journal!$D$4:$D$10013,Journal!$B$4:$B$10013,T$6,Journal!$C$4:$C$10013,$B39)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SUMIFS(Journal!$D$4:$D$10013,Journal!$B$4:$B$10013,D$6,Journal!$C$4:$C$10013,$B41)</f>
        <v>0</v>
      </c>
      <c r="E42" s="43"/>
      <c r="F42" s="42">
        <f>SUMIFS(Journal!$D$4:$D$10013,Journal!$B$4:$B$10013,F$6,Journal!$C$4:$C$10013,$B41)</f>
        <v>0</v>
      </c>
      <c r="G42" s="43"/>
      <c r="H42" s="42">
        <f>SUMIFS(Journal!$D$4:$D$10013,Journal!$B$4:$B$10013,H$6,Journal!$C$4:$C$10013,$B41)</f>
        <v>0</v>
      </c>
      <c r="I42" s="43"/>
      <c r="J42" s="42">
        <f>SUMIFS(Journal!$D$4:$D$10013,Journal!$B$4:$B$10013,J$6,Journal!$C$4:$C$10013,$B41)</f>
        <v>0</v>
      </c>
      <c r="K42" s="43"/>
      <c r="L42" s="42">
        <f>SUMIFS(Journal!$D$4:$D$10013,Journal!$B$4:$B$10013,L$6,Journal!$C$4:$C$10013,$B41)</f>
        <v>0</v>
      </c>
      <c r="M42" s="43"/>
      <c r="N42" s="42">
        <f>SUMIFS(Journal!$D$4:$D$10013,Journal!$B$4:$B$10013,N$6,Journal!$C$4:$C$10013,$B41)</f>
        <v>0</v>
      </c>
      <c r="O42" s="43"/>
      <c r="P42" s="42">
        <f>SUMIFS(Journal!$D$4:$D$10013,Journal!$B$4:$B$10013,P$6,Journal!$C$4:$C$10013,$B41)</f>
        <v>0</v>
      </c>
      <c r="Q42" s="43"/>
      <c r="R42" s="42">
        <f>SUMIFS(Journal!$D$4:$D$10013,Journal!$B$4:$B$10013,R$6,Journal!$C$4:$C$10013,$B41)</f>
        <v>0</v>
      </c>
      <c r="S42" s="43"/>
      <c r="T42" s="42">
        <f>SUMIFS(Journal!$D$4:$D$10013,Journal!$B$4:$B$10013,T$6,Journal!$C$4:$C$10013,$B41)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SUMIFS(Journal!$D$4:$D$10013,Journal!$B$4:$B$10013,D$6,Journal!$C$4:$C$10013,$B43)</f>
        <v>0</v>
      </c>
      <c r="E44" s="43"/>
      <c r="F44" s="42">
        <f>SUMIFS(Journal!$D$4:$D$10013,Journal!$B$4:$B$10013,F$6,Journal!$C$4:$C$10013,$B43)</f>
        <v>0</v>
      </c>
      <c r="G44" s="43"/>
      <c r="H44" s="42">
        <f>SUMIFS(Journal!$D$4:$D$10013,Journal!$B$4:$B$10013,H$6,Journal!$C$4:$C$10013,$B43)</f>
        <v>0</v>
      </c>
      <c r="I44" s="43"/>
      <c r="J44" s="42">
        <f>SUMIFS(Journal!$D$4:$D$10013,Journal!$B$4:$B$10013,J$6,Journal!$C$4:$C$10013,$B43)</f>
        <v>0</v>
      </c>
      <c r="K44" s="43"/>
      <c r="L44" s="42">
        <f>SUMIFS(Journal!$D$4:$D$10013,Journal!$B$4:$B$10013,L$6,Journal!$C$4:$C$10013,$B43)</f>
        <v>0</v>
      </c>
      <c r="M44" s="43"/>
      <c r="N44" s="42">
        <f>SUMIFS(Journal!$D$4:$D$10013,Journal!$B$4:$B$10013,N$6,Journal!$C$4:$C$10013,$B43)</f>
        <v>0</v>
      </c>
      <c r="O44" s="43"/>
      <c r="P44" s="42">
        <f>SUMIFS(Journal!$D$4:$D$10013,Journal!$B$4:$B$10013,P$6,Journal!$C$4:$C$10013,$B43)</f>
        <v>0</v>
      </c>
      <c r="Q44" s="43"/>
      <c r="R44" s="42">
        <f>SUMIFS(Journal!$D$4:$D$10013,Journal!$B$4:$B$10013,R$6,Journal!$C$4:$C$10013,$B43)</f>
        <v>0</v>
      </c>
      <c r="S44" s="43"/>
      <c r="T44" s="42">
        <f>SUMIFS(Journal!$D$4:$D$10013,Journal!$B$4:$B$10013,T$6,Journal!$C$4:$C$10013,$B43)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SUMIFS(Journal!$D$4:$D$10013,Journal!$B$4:$B$10013,D$6,Journal!$C$4:$C$10013,$B45)</f>
        <v>0</v>
      </c>
      <c r="E46" s="43"/>
      <c r="F46" s="42">
        <f>SUMIFS(Journal!$D$4:$D$10013,Journal!$B$4:$B$10013,F$6,Journal!$C$4:$C$10013,$B45)</f>
        <v>0</v>
      </c>
      <c r="G46" s="43"/>
      <c r="H46" s="42">
        <f>SUMIFS(Journal!$D$4:$D$10013,Journal!$B$4:$B$10013,H$6,Journal!$C$4:$C$10013,$B45)</f>
        <v>0</v>
      </c>
      <c r="I46" s="43"/>
      <c r="J46" s="42">
        <f>SUMIFS(Journal!$D$4:$D$10013,Journal!$B$4:$B$10013,J$6,Journal!$C$4:$C$10013,$B45)</f>
        <v>0</v>
      </c>
      <c r="K46" s="43"/>
      <c r="L46" s="42">
        <f>SUMIFS(Journal!$D$4:$D$10013,Journal!$B$4:$B$10013,L$6,Journal!$C$4:$C$10013,$B45)</f>
        <v>0</v>
      </c>
      <c r="M46" s="43"/>
      <c r="N46" s="42">
        <f>SUMIFS(Journal!$D$4:$D$10013,Journal!$B$4:$B$10013,N$6,Journal!$C$4:$C$10013,$B45)</f>
        <v>0</v>
      </c>
      <c r="O46" s="43"/>
      <c r="P46" s="42">
        <f>SUMIFS(Journal!$D$4:$D$10013,Journal!$B$4:$B$10013,P$6,Journal!$C$4:$C$10013,$B45)</f>
        <v>0</v>
      </c>
      <c r="Q46" s="43"/>
      <c r="R46" s="42">
        <f>SUMIFS(Journal!$D$4:$D$10013,Journal!$B$4:$B$10013,R$6,Journal!$C$4:$C$10013,$B45)</f>
        <v>0</v>
      </c>
      <c r="S46" s="43"/>
      <c r="T46" s="42">
        <f>SUMIFS(Journal!$D$4:$D$10013,Journal!$B$4:$B$10013,T$6,Journal!$C$4:$C$10013,$B45)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0.47916666666666663</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Structure des pages du projet</v>
      </c>
      <c r="C49" s="38" t="str">
        <f>A$3</f>
        <v>Prévu</v>
      </c>
      <c r="D49" s="46"/>
      <c r="E49" s="39"/>
      <c r="F49" s="46"/>
      <c r="G49" s="39"/>
      <c r="H49" s="46"/>
      <c r="I49" s="39"/>
      <c r="J49" s="46">
        <v>4.1666666666666664E-2</v>
      </c>
      <c r="K49" s="39"/>
      <c r="L49" s="46"/>
      <c r="M49" s="39"/>
      <c r="N49" s="46"/>
      <c r="O49" s="39"/>
      <c r="P49" s="46"/>
      <c r="Q49" s="39"/>
      <c r="R49" s="46"/>
      <c r="S49" s="39"/>
      <c r="T49" s="46"/>
      <c r="U49" s="40">
        <f t="shared" ref="U49:U58" si="4">IF(SUM(D49:T49)=0,"",SUM(D49:T49))</f>
        <v>4.1666666666666664E-2</v>
      </c>
    </row>
    <row r="50" spans="2:21" s="45" customFormat="1" ht="15" customHeight="1" thickBot="1" x14ac:dyDescent="0.3">
      <c r="B50" s="41"/>
      <c r="C50" s="91" t="str">
        <f>A4</f>
        <v>Koetschet</v>
      </c>
      <c r="D50" s="42">
        <f>SUMIFS(Journal!$D$4:$D$10013,Journal!$B$4:$B$10013,D$6,Journal!$C$4:$C$10013,$B49)</f>
        <v>0</v>
      </c>
      <c r="E50" s="43"/>
      <c r="F50" s="42">
        <f>SUMIFS(Journal!$D$4:$D$10013,Journal!$B$4:$B$10013,F$6,Journal!$C$4:$C$10013,$B49)</f>
        <v>0</v>
      </c>
      <c r="G50" s="43"/>
      <c r="H50" s="42">
        <f>SUMIFS(Journal!$D$4:$D$10013,Journal!$B$4:$B$10013,H$6,Journal!$C$4:$C$10013,$B49)</f>
        <v>0</v>
      </c>
      <c r="I50" s="43"/>
      <c r="J50" s="42">
        <f>SUMIFS(Journal!$D$4:$D$10013,Journal!$B$4:$B$10013,J$6,Journal!$C$4:$C$10013,$B49)</f>
        <v>0</v>
      </c>
      <c r="K50" s="43"/>
      <c r="L50" s="42">
        <f>SUMIFS(Journal!$D$4:$D$10013,Journal!$B$4:$B$10013,L$6,Journal!$C$4:$C$10013,$B49)</f>
        <v>0</v>
      </c>
      <c r="M50" s="43"/>
      <c r="N50" s="42">
        <f>SUMIFS(Journal!$D$4:$D$10013,Journal!$B$4:$B$10013,N$6,Journal!$C$4:$C$10013,$B49)</f>
        <v>0</v>
      </c>
      <c r="O50" s="43"/>
      <c r="P50" s="42">
        <f>SUMIFS(Journal!$D$4:$D$10013,Journal!$B$4:$B$10013,P$6,Journal!$C$4:$C$10013,$B49)</f>
        <v>0</v>
      </c>
      <c r="Q50" s="43"/>
      <c r="R50" s="42">
        <f>SUMIFS(Journal!$D$4:$D$10013,Journal!$B$4:$B$10013,R$6,Journal!$C$4:$C$10013,$B49)</f>
        <v>0</v>
      </c>
      <c r="S50" s="43"/>
      <c r="T50" s="42">
        <f>SUMIFS(Journal!$D$4:$D$10013,Journal!$B$4:$B$10013,T$6,Journal!$C$4:$C$10013,$B49)</f>
        <v>0</v>
      </c>
      <c r="U50" s="44" t="str">
        <f t="shared" si="4"/>
        <v/>
      </c>
    </row>
    <row r="51" spans="2:21" ht="15" customHeight="1" x14ac:dyDescent="0.25">
      <c r="B51" s="5" t="str">
        <f>Base!G24</f>
        <v>32 Connexion à la base de données</v>
      </c>
      <c r="C51" s="38" t="str">
        <f>A$3</f>
        <v>Prévu</v>
      </c>
      <c r="D51" s="46"/>
      <c r="E51" s="39"/>
      <c r="F51" s="46"/>
      <c r="G51" s="39"/>
      <c r="H51" s="46"/>
      <c r="I51" s="39"/>
      <c r="J51" s="46">
        <v>5.2083333333333336E-2</v>
      </c>
      <c r="K51" s="39"/>
      <c r="L51" s="46">
        <v>0.125</v>
      </c>
      <c r="M51" s="39"/>
      <c r="N51" s="46"/>
      <c r="O51" s="39"/>
      <c r="P51" s="46"/>
      <c r="Q51" s="39"/>
      <c r="R51" s="46"/>
      <c r="S51" s="39"/>
      <c r="T51" s="46"/>
      <c r="U51" s="40">
        <f t="shared" si="4"/>
        <v>0.17708333333333334</v>
      </c>
    </row>
    <row r="52" spans="2:21" ht="15" customHeight="1" thickBot="1" x14ac:dyDescent="0.3">
      <c r="B52" s="41"/>
      <c r="C52" s="91" t="str">
        <f>A4</f>
        <v>Koetschet</v>
      </c>
      <c r="D52" s="42">
        <f>SUMIFS(Journal!$D$4:$D$10013,Journal!$B$4:$B$10013,D$6,Journal!$C$4:$C$10013,$B51)</f>
        <v>0</v>
      </c>
      <c r="E52" s="43"/>
      <c r="F52" s="42">
        <f>SUMIFS(Journal!$D$4:$D$10013,Journal!$B$4:$B$10013,F$6,Journal!$C$4:$C$10013,$B51)</f>
        <v>0</v>
      </c>
      <c r="G52" s="43"/>
      <c r="H52" s="42">
        <f>SUMIFS(Journal!$D$4:$D$10013,Journal!$B$4:$B$10013,H$6,Journal!$C$4:$C$10013,$B51)</f>
        <v>0</v>
      </c>
      <c r="I52" s="43"/>
      <c r="J52" s="42">
        <f>SUMIFS(Journal!$D$4:$D$10013,Journal!$B$4:$B$10013,J$6,Journal!$C$4:$C$10013,$B51)</f>
        <v>0</v>
      </c>
      <c r="K52" s="43"/>
      <c r="L52" s="42">
        <f>SUMIFS(Journal!$D$4:$D$10013,Journal!$B$4:$B$10013,L$6,Journal!$C$4:$C$10013,$B51)</f>
        <v>0</v>
      </c>
      <c r="M52" s="43"/>
      <c r="N52" s="42">
        <f>SUMIFS(Journal!$D$4:$D$10013,Journal!$B$4:$B$10013,N$6,Journal!$C$4:$C$10013,$B51)</f>
        <v>0</v>
      </c>
      <c r="O52" s="43"/>
      <c r="P52" s="42">
        <f>SUMIFS(Journal!$D$4:$D$10013,Journal!$B$4:$B$10013,P$6,Journal!$C$4:$C$10013,$B51)</f>
        <v>0</v>
      </c>
      <c r="Q52" s="43"/>
      <c r="R52" s="42">
        <f>SUMIFS(Journal!$D$4:$D$10013,Journal!$B$4:$B$10013,R$6,Journal!$C$4:$C$10013,$B51)</f>
        <v>0</v>
      </c>
      <c r="S52" s="43"/>
      <c r="T52" s="42">
        <f>SUMIFS(Journal!$D$4:$D$10013,Journal!$B$4:$B$10013,T$6,Journal!$C$4:$C$10013,$B51)</f>
        <v>0</v>
      </c>
      <c r="U52" s="44" t="str">
        <f t="shared" si="4"/>
        <v/>
      </c>
    </row>
    <row r="53" spans="2:21" ht="15" customHeight="1" x14ac:dyDescent="0.25">
      <c r="B53" s="5" t="str">
        <f>Base!G25</f>
        <v>33 Page d'accueil</v>
      </c>
      <c r="C53" s="38" t="str">
        <f>A$3</f>
        <v>Prévu</v>
      </c>
      <c r="D53" s="46"/>
      <c r="E53" s="39"/>
      <c r="F53" s="46"/>
      <c r="G53" s="39"/>
      <c r="H53" s="46"/>
      <c r="I53" s="39"/>
      <c r="J53" s="46"/>
      <c r="K53" s="39"/>
      <c r="L53" s="46">
        <v>9.375E-2</v>
      </c>
      <c r="M53" s="39"/>
      <c r="N53" s="46"/>
      <c r="O53" s="39"/>
      <c r="P53" s="46"/>
      <c r="Q53" s="39"/>
      <c r="R53" s="46"/>
      <c r="S53" s="39"/>
      <c r="T53" s="46"/>
      <c r="U53" s="40">
        <f t="shared" si="4"/>
        <v>9.375E-2</v>
      </c>
    </row>
    <row r="54" spans="2:21" ht="15" customHeight="1" thickBot="1" x14ac:dyDescent="0.3">
      <c r="B54" s="41"/>
      <c r="C54" s="91" t="str">
        <f>A4</f>
        <v>Koetschet</v>
      </c>
      <c r="D54" s="42">
        <f>SUMIFS(Journal!$D$4:$D$10013,Journal!$B$4:$B$10013,D$6,Journal!$C$4:$C$10013,$B53)</f>
        <v>0</v>
      </c>
      <c r="E54" s="43"/>
      <c r="F54" s="42">
        <f>SUMIFS(Journal!$D$4:$D$10013,Journal!$B$4:$B$10013,F$6,Journal!$C$4:$C$10013,$B53)</f>
        <v>0</v>
      </c>
      <c r="G54" s="43"/>
      <c r="H54" s="42">
        <f>SUMIFS(Journal!$D$4:$D$10013,Journal!$B$4:$B$10013,H$6,Journal!$C$4:$C$10013,$B53)</f>
        <v>0</v>
      </c>
      <c r="I54" s="43"/>
      <c r="J54" s="42">
        <f>SUMIFS(Journal!$D$4:$D$10013,Journal!$B$4:$B$10013,J$6,Journal!$C$4:$C$10013,$B53)</f>
        <v>0</v>
      </c>
      <c r="K54" s="43"/>
      <c r="L54" s="42">
        <f>SUMIFS(Journal!$D$4:$D$10013,Journal!$B$4:$B$10013,L$6,Journal!$C$4:$C$10013,$B53)</f>
        <v>0</v>
      </c>
      <c r="M54" s="43"/>
      <c r="N54" s="42">
        <f>SUMIFS(Journal!$D$4:$D$10013,Journal!$B$4:$B$10013,N$6,Journal!$C$4:$C$10013,$B53)</f>
        <v>0</v>
      </c>
      <c r="O54" s="43"/>
      <c r="P54" s="42">
        <f>SUMIFS(Journal!$D$4:$D$10013,Journal!$B$4:$B$10013,P$6,Journal!$C$4:$C$10013,$B53)</f>
        <v>0</v>
      </c>
      <c r="Q54" s="43"/>
      <c r="R54" s="42">
        <f>SUMIFS(Journal!$D$4:$D$10013,Journal!$B$4:$B$10013,R$6,Journal!$C$4:$C$10013,$B53)</f>
        <v>0</v>
      </c>
      <c r="S54" s="43"/>
      <c r="T54" s="42">
        <f>SUMIFS(Journal!$D$4:$D$10013,Journal!$B$4:$B$10013,T$6,Journal!$C$4:$C$10013,$B53)</f>
        <v>0</v>
      </c>
      <c r="U54" s="44" t="str">
        <f t="shared" si="4"/>
        <v/>
      </c>
    </row>
    <row r="55" spans="2:21" ht="15" customHeight="1" x14ac:dyDescent="0.25">
      <c r="B55" s="5" t="str">
        <f>Base!G26</f>
        <v>34 Page d'affichage des restaurants</v>
      </c>
      <c r="C55" s="38" t="str">
        <f>A$3</f>
        <v>Prévu</v>
      </c>
      <c r="D55" s="46"/>
      <c r="E55" s="39"/>
      <c r="F55" s="46"/>
      <c r="G55" s="39"/>
      <c r="H55" s="46"/>
      <c r="I55" s="39"/>
      <c r="J55" s="46"/>
      <c r="K55" s="39"/>
      <c r="M55" s="39"/>
      <c r="N55" s="46">
        <v>8.3333333333333329E-2</v>
      </c>
      <c r="O55" s="39"/>
      <c r="P55" s="46"/>
      <c r="Q55" s="39"/>
      <c r="R55" s="46"/>
      <c r="S55" s="39"/>
      <c r="T55" s="46"/>
      <c r="U55" s="40">
        <f t="shared" si="4"/>
        <v>8.3333333333333329E-2</v>
      </c>
    </row>
    <row r="56" spans="2:21" ht="15" customHeight="1" thickBot="1" x14ac:dyDescent="0.3">
      <c r="B56" s="41"/>
      <c r="C56" s="91" t="str">
        <f>A4</f>
        <v>Koetschet</v>
      </c>
      <c r="D56" s="42">
        <f>SUMIFS(Journal!$D$4:$D$10013,Journal!$B$4:$B$10013,D$6,Journal!$C$4:$C$10013,$B55)</f>
        <v>0</v>
      </c>
      <c r="E56" s="43"/>
      <c r="F56" s="42">
        <f>SUMIFS(Journal!$D$4:$D$10013,Journal!$B$4:$B$10013,F$6,Journal!$C$4:$C$10013,$B55)</f>
        <v>0</v>
      </c>
      <c r="G56" s="43"/>
      <c r="H56" s="42">
        <f>SUMIFS(Journal!$D$4:$D$10013,Journal!$B$4:$B$10013,H$6,Journal!$C$4:$C$10013,$B55)</f>
        <v>0</v>
      </c>
      <c r="I56" s="43"/>
      <c r="J56" s="42">
        <f>SUMIFS(Journal!$D$4:$D$10013,Journal!$B$4:$B$10013,J$6,Journal!$C$4:$C$10013,$B55)</f>
        <v>0</v>
      </c>
      <c r="K56" s="43"/>
      <c r="L56" s="42">
        <f>SUMIFS(Journal!$D$4:$D$10013,Journal!$B$4:$B$10013,L$6,Journal!$C$4:$C$10013,$B55)</f>
        <v>0</v>
      </c>
      <c r="M56" s="43"/>
      <c r="N56" s="42">
        <f>SUMIFS(Journal!$D$4:$D$10013,Journal!$B$4:$B$10013,N$6,Journal!$C$4:$C$10013,$B55)</f>
        <v>0</v>
      </c>
      <c r="O56" s="43"/>
      <c r="P56" s="42">
        <f>SUMIFS(Journal!$D$4:$D$10013,Journal!$B$4:$B$10013,P$6,Journal!$C$4:$C$10013,$B55)</f>
        <v>0</v>
      </c>
      <c r="Q56" s="43"/>
      <c r="R56" s="42">
        <f>SUMIFS(Journal!$D$4:$D$10013,Journal!$B$4:$B$10013,R$6,Journal!$C$4:$C$10013,$B55)</f>
        <v>0</v>
      </c>
      <c r="S56" s="43"/>
      <c r="T56" s="42">
        <f>SUMIFS(Journal!$D$4:$D$10013,Journal!$B$4:$B$10013,T$6,Journal!$C$4:$C$10013,$B55)</f>
        <v>0</v>
      </c>
      <c r="U56" s="44" t="str">
        <f t="shared" si="4"/>
        <v/>
      </c>
    </row>
    <row r="57" spans="2:21" ht="15" customHeight="1" x14ac:dyDescent="0.25">
      <c r="B57" s="5" t="str">
        <f>Base!G27</f>
        <v>35 Page d'affichage des catégories de plats</v>
      </c>
      <c r="C57" s="38" t="str">
        <f>A$3</f>
        <v>Prévu</v>
      </c>
      <c r="D57" s="46"/>
      <c r="E57" s="39"/>
      <c r="F57" s="46"/>
      <c r="G57" s="39"/>
      <c r="H57" s="46"/>
      <c r="I57" s="39"/>
      <c r="J57" s="46"/>
      <c r="K57" s="39"/>
      <c r="L57" s="46"/>
      <c r="M57" s="39"/>
      <c r="N57" s="46"/>
      <c r="O57" s="39"/>
      <c r="P57" s="46"/>
      <c r="Q57" s="39"/>
      <c r="R57" s="46"/>
      <c r="S57" s="39"/>
      <c r="T57" s="46"/>
      <c r="U57" s="40" t="str">
        <f t="shared" si="4"/>
        <v/>
      </c>
    </row>
    <row r="58" spans="2:21" ht="15" customHeight="1" thickBot="1" x14ac:dyDescent="0.3">
      <c r="B58" s="41"/>
      <c r="C58" s="91" t="str">
        <f>A4</f>
        <v>Koetschet</v>
      </c>
      <c r="D58" s="42">
        <f>SUMIFS(Journal!$D$4:$D$10013,Journal!$B$4:$B$10013,D$6,Journal!$C$4:$C$10013,$B57)</f>
        <v>0</v>
      </c>
      <c r="E58" s="43"/>
      <c r="F58" s="42">
        <f>SUMIFS(Journal!$D$4:$D$10013,Journal!$B$4:$B$10013,F$6,Journal!$C$4:$C$10013,$B57)</f>
        <v>0</v>
      </c>
      <c r="G58" s="43"/>
      <c r="H58" s="42">
        <f>SUMIFS(Journal!$D$4:$D$10013,Journal!$B$4:$B$10013,H$6,Journal!$C$4:$C$10013,$B57)</f>
        <v>0</v>
      </c>
      <c r="I58" s="43"/>
      <c r="J58" s="42">
        <f>SUMIFS(Journal!$D$4:$D$10013,Journal!$B$4:$B$10013,J$6,Journal!$C$4:$C$10013,$B57)</f>
        <v>0</v>
      </c>
      <c r="K58" s="43"/>
      <c r="L58" s="42">
        <f>SUMIFS(Journal!$D$4:$D$10013,Journal!$B$4:$B$10013,L$6,Journal!$C$4:$C$10013,$B57)</f>
        <v>0</v>
      </c>
      <c r="M58" s="43"/>
      <c r="N58" s="42">
        <f>SUMIFS(Journal!$D$4:$D$10013,Journal!$B$4:$B$10013,N$6,Journal!$C$4:$C$10013,$B57)</f>
        <v>0</v>
      </c>
      <c r="O58" s="43"/>
      <c r="P58" s="42">
        <f>SUMIFS(Journal!$D$4:$D$10013,Journal!$B$4:$B$10013,P$6,Journal!$C$4:$C$10013,$B57)</f>
        <v>0</v>
      </c>
      <c r="Q58" s="43"/>
      <c r="R58" s="42">
        <f>SUMIFS(Journal!$D$4:$D$10013,Journal!$B$4:$B$10013,R$6,Journal!$C$4:$C$10013,$B57)</f>
        <v>0</v>
      </c>
      <c r="S58" s="43"/>
      <c r="T58" s="42">
        <f>SUMIFS(Journal!$D$4:$D$10013,Journal!$B$4:$B$10013,T$6,Journal!$C$4:$C$10013,$B57)</f>
        <v>0</v>
      </c>
      <c r="U58" s="44" t="str">
        <f t="shared" si="4"/>
        <v/>
      </c>
    </row>
    <row r="59" spans="2:21" ht="15" customHeight="1" x14ac:dyDescent="0.25">
      <c r="B59" s="5" t="str">
        <f>Base!G28</f>
        <v>36 Rédaction des tests</v>
      </c>
      <c r="C59" s="38" t="str">
        <f>A$3</f>
        <v>Prévu</v>
      </c>
      <c r="D59" s="46"/>
      <c r="E59" s="39"/>
      <c r="F59" s="46"/>
      <c r="G59" s="39"/>
      <c r="H59" s="46"/>
      <c r="I59" s="39"/>
      <c r="J59" s="46"/>
      <c r="K59" s="39"/>
      <c r="L59" s="46">
        <v>8.3333333333333329E-2</v>
      </c>
      <c r="M59" s="39"/>
      <c r="N59" s="46"/>
      <c r="O59" s="39"/>
      <c r="P59" s="46"/>
      <c r="Q59" s="39"/>
      <c r="R59" s="46"/>
      <c r="S59" s="39"/>
      <c r="T59" s="46"/>
      <c r="U59" s="40">
        <f t="shared" ref="U59:U66" si="5">IF(SUM(D59:T59)=0,"",SUM(D59:T59))</f>
        <v>8.3333333333333329E-2</v>
      </c>
    </row>
    <row r="60" spans="2:21" ht="15" customHeight="1" thickBot="1" x14ac:dyDescent="0.3">
      <c r="B60" s="41"/>
      <c r="C60" s="91" t="str">
        <f>A4</f>
        <v>Koetschet</v>
      </c>
      <c r="D60" s="42">
        <f>SUMIFS(Journal!$D$4:$D$10013,Journal!$B$4:$B$10013,D$6,Journal!$C$4:$C$10013,$B59)</f>
        <v>0</v>
      </c>
      <c r="E60" s="43"/>
      <c r="F60" s="42">
        <f>SUMIFS(Journal!$D$4:$D$10013,Journal!$B$4:$B$10013,F$6,Journal!$C$4:$C$10013,$B59)</f>
        <v>0</v>
      </c>
      <c r="G60" s="43"/>
      <c r="H60" s="42">
        <f>SUMIFS(Journal!$D$4:$D$10013,Journal!$B$4:$B$10013,H$6,Journal!$C$4:$C$10013,$B59)</f>
        <v>0</v>
      </c>
      <c r="I60" s="43"/>
      <c r="J60" s="42">
        <f>SUMIFS(Journal!$D$4:$D$10013,Journal!$B$4:$B$10013,J$6,Journal!$C$4:$C$10013,$B59)</f>
        <v>0</v>
      </c>
      <c r="K60" s="43"/>
      <c r="L60" s="42">
        <f>SUMIFS(Journal!$D$4:$D$10013,Journal!$B$4:$B$10013,L$6,Journal!$C$4:$C$10013,$B59)</f>
        <v>0</v>
      </c>
      <c r="M60" s="43"/>
      <c r="N60" s="42">
        <f>SUMIFS(Journal!$D$4:$D$10013,Journal!$B$4:$B$10013,N$6,Journal!$C$4:$C$10013,$B59)</f>
        <v>0</v>
      </c>
      <c r="O60" s="43"/>
      <c r="P60" s="42">
        <f>SUMIFS(Journal!$D$4:$D$10013,Journal!$B$4:$B$10013,P$6,Journal!$C$4:$C$10013,$B59)</f>
        <v>0</v>
      </c>
      <c r="Q60" s="43"/>
      <c r="R60" s="42">
        <f>SUMIFS(Journal!$D$4:$D$10013,Journal!$B$4:$B$10013,R$6,Journal!$C$4:$C$10013,$B59)</f>
        <v>0</v>
      </c>
      <c r="S60" s="43"/>
      <c r="T60" s="42">
        <f>SUMIFS(Journal!$D$4:$D$10013,Journal!$B$4:$B$10013,T$6,Journal!$C$4:$C$10013,$B59)</f>
        <v>0</v>
      </c>
      <c r="U60" s="44" t="str">
        <f t="shared" si="5"/>
        <v/>
      </c>
    </row>
    <row r="61" spans="2:21" ht="15" customHeight="1" x14ac:dyDescent="0.25">
      <c r="B61" s="5" t="str">
        <f>Base!G29</f>
        <v>37 Application des tests et considération des résultats</v>
      </c>
      <c r="C61" s="38" t="str">
        <f>A$3</f>
        <v>Prévu</v>
      </c>
      <c r="D61" s="46"/>
      <c r="E61" s="39"/>
      <c r="F61" s="46"/>
      <c r="G61" s="39"/>
      <c r="H61" s="46"/>
      <c r="I61" s="39"/>
      <c r="J61" s="46"/>
      <c r="K61" s="39"/>
      <c r="L61" s="46"/>
      <c r="M61" s="39"/>
      <c r="N61" s="46"/>
      <c r="O61" s="39"/>
      <c r="P61" s="46"/>
      <c r="Q61" s="39"/>
      <c r="R61" s="46"/>
      <c r="S61" s="39"/>
      <c r="T61" s="46"/>
      <c r="U61" s="40" t="str">
        <f t="shared" si="5"/>
        <v/>
      </c>
    </row>
    <row r="62" spans="2:21" ht="15" customHeight="1" thickBot="1" x14ac:dyDescent="0.3">
      <c r="B62" s="41"/>
      <c r="C62" s="63" t="str">
        <f>A4</f>
        <v>Koetschet</v>
      </c>
      <c r="D62" s="42">
        <f>SUMIFS(Journal!$D$4:$D$10013,Journal!$B$4:$B$10013,D$6,Journal!$C$4:$C$10013,$B61)</f>
        <v>0</v>
      </c>
      <c r="E62" s="43"/>
      <c r="F62" s="42">
        <f>SUMIFS(Journal!$D$4:$D$10013,Journal!$B$4:$B$10013,F$6,Journal!$C$4:$C$10013,$B61)</f>
        <v>0</v>
      </c>
      <c r="G62" s="43"/>
      <c r="H62" s="42">
        <f>SUMIFS(Journal!$D$4:$D$10013,Journal!$B$4:$B$10013,H$6,Journal!$C$4:$C$10013,$B61)</f>
        <v>0</v>
      </c>
      <c r="I62" s="43"/>
      <c r="J62" s="42">
        <f>SUMIFS(Journal!$D$4:$D$10013,Journal!$B$4:$B$10013,J$6,Journal!$C$4:$C$10013,$B61)</f>
        <v>0</v>
      </c>
      <c r="K62" s="43"/>
      <c r="L62" s="42">
        <f>SUMIFS(Journal!$D$4:$D$10013,Journal!$B$4:$B$10013,L$6,Journal!$C$4:$C$10013,$B61)</f>
        <v>0</v>
      </c>
      <c r="M62" s="43"/>
      <c r="N62" s="42">
        <f>SUMIFS(Journal!$D$4:$D$10013,Journal!$B$4:$B$10013,N$6,Journal!$C$4:$C$10013,$B61)</f>
        <v>0</v>
      </c>
      <c r="O62" s="43"/>
      <c r="P62" s="42">
        <f>SUMIFS(Journal!$D$4:$D$10013,Journal!$B$4:$B$10013,P$6,Journal!$C$4:$C$10013,$B61)</f>
        <v>0</v>
      </c>
      <c r="Q62" s="43"/>
      <c r="R62" s="42">
        <f>SUMIFS(Journal!$D$4:$D$10013,Journal!$B$4:$B$10013,R$6,Journal!$C$4:$C$10013,$B61)</f>
        <v>0</v>
      </c>
      <c r="S62" s="43"/>
      <c r="T62" s="42">
        <f>SUMIFS(Journal!$D$4:$D$10013,Journal!$B$4:$B$10013,T$6,Journal!$C$4:$C$10013,$B61)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SUMIFS(Journal!$D$4:$D$10013,Journal!$B$4:$B$10013,D$6,Journal!$C$4:$C$10013,$B63)</f>
        <v>0</v>
      </c>
      <c r="E64" s="43"/>
      <c r="F64" s="42">
        <f>SUMIFS(Journal!$D$4:$D$10013,Journal!$B$4:$B$10013,F$6,Journal!$C$4:$C$10013,$B63)</f>
        <v>0</v>
      </c>
      <c r="G64" s="43"/>
      <c r="H64" s="42">
        <f>SUMIFS(Journal!$D$4:$D$10013,Journal!$B$4:$B$10013,H$6,Journal!$C$4:$C$10013,$B63)</f>
        <v>0</v>
      </c>
      <c r="I64" s="43"/>
      <c r="J64" s="42">
        <f>SUMIFS(Journal!$D$4:$D$10013,Journal!$B$4:$B$10013,J$6,Journal!$C$4:$C$10013,$B63)</f>
        <v>0</v>
      </c>
      <c r="K64" s="43"/>
      <c r="L64" s="42">
        <f>SUMIFS(Journal!$D$4:$D$10013,Journal!$B$4:$B$10013,L$6,Journal!$C$4:$C$10013,$B63)</f>
        <v>0</v>
      </c>
      <c r="M64" s="43"/>
      <c r="N64" s="42">
        <f>SUMIFS(Journal!$D$4:$D$10013,Journal!$B$4:$B$10013,N$6,Journal!$C$4:$C$10013,$B63)</f>
        <v>0</v>
      </c>
      <c r="O64" s="43"/>
      <c r="P64" s="42">
        <f>SUMIFS(Journal!$D$4:$D$10013,Journal!$B$4:$B$10013,P$6,Journal!$C$4:$C$10013,$B63)</f>
        <v>0</v>
      </c>
      <c r="Q64" s="43"/>
      <c r="R64" s="42">
        <f>SUMIFS(Journal!$D$4:$D$10013,Journal!$B$4:$B$10013,R$6,Journal!$C$4:$C$10013,$B63)</f>
        <v>0</v>
      </c>
      <c r="S64" s="43"/>
      <c r="T64" s="42">
        <f>SUMIFS(Journal!$D$4:$D$10013,Journal!$B$4:$B$10013,T$6,Journal!$C$4:$C$10013,$B63)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SUMIFS(Journal!$D$4:$D$10013,Journal!$B$4:$B$10013,D$6,Journal!$C$4:$C$10013,$B65)</f>
        <v>0</v>
      </c>
      <c r="E66" s="43"/>
      <c r="F66" s="42">
        <f>SUMIFS(Journal!$D$4:$D$10013,Journal!$B$4:$B$10013,F$6,Journal!$C$4:$C$10013,$B65)</f>
        <v>0</v>
      </c>
      <c r="G66" s="43"/>
      <c r="H66" s="42">
        <f>SUMIFS(Journal!$D$4:$D$10013,Journal!$B$4:$B$10013,H$6,Journal!$C$4:$C$10013,$B65)</f>
        <v>0</v>
      </c>
      <c r="I66" s="43"/>
      <c r="J66" s="42">
        <f>SUMIFS(Journal!$D$4:$D$10013,Journal!$B$4:$B$10013,J$6,Journal!$C$4:$C$10013,$B65)</f>
        <v>0</v>
      </c>
      <c r="K66" s="43"/>
      <c r="L66" s="42">
        <f>SUMIFS(Journal!$D$4:$D$10013,Journal!$B$4:$B$10013,L$6,Journal!$C$4:$C$10013,$B65)</f>
        <v>0</v>
      </c>
      <c r="M66" s="43"/>
      <c r="N66" s="42">
        <f>SUMIFS(Journal!$D$4:$D$10013,Journal!$B$4:$B$10013,N$6,Journal!$C$4:$C$10013,$B65)</f>
        <v>0</v>
      </c>
      <c r="O66" s="43"/>
      <c r="P66" s="42">
        <f>SUMIFS(Journal!$D$4:$D$10013,Journal!$B$4:$B$10013,P$6,Journal!$C$4:$C$10013,$B65)</f>
        <v>0</v>
      </c>
      <c r="Q66" s="43"/>
      <c r="R66" s="42">
        <f>SUMIFS(Journal!$D$4:$D$10013,Journal!$B$4:$B$10013,R$6,Journal!$C$4:$C$10013,$B65)</f>
        <v>0</v>
      </c>
      <c r="S66" s="43"/>
      <c r="T66" s="42">
        <f>SUMIFS(Journal!$D$4:$D$10013,Journal!$B$4:$B$10013,T$6,Journal!$C$4:$C$10013,$B65)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1.6458333333333335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0.53125</v>
      </c>
    </row>
    <row r="69" spans="1:21" ht="15" customHeight="1" x14ac:dyDescent="0.25">
      <c r="B69" s="5" t="str">
        <f>Base!G33</f>
        <v>41 Organisation personnelle</v>
      </c>
      <c r="C69" s="38" t="str">
        <f>A$3</f>
        <v>Prévu</v>
      </c>
      <c r="D69" s="46">
        <v>0.1875</v>
      </c>
      <c r="E69" s="39"/>
      <c r="F69" s="46">
        <v>4.1666666666666664E-2</v>
      </c>
      <c r="G69" s="39"/>
      <c r="H69" s="46">
        <v>7.2916666666666671E-2</v>
      </c>
      <c r="I69" s="39"/>
      <c r="J69" s="46">
        <v>3.125E-2</v>
      </c>
      <c r="K69" s="39"/>
      <c r="L69" s="46">
        <v>3.125E-2</v>
      </c>
      <c r="M69" s="39"/>
      <c r="N69" s="46">
        <v>3.125E-2</v>
      </c>
      <c r="O69" s="39"/>
      <c r="P69" s="46">
        <v>3.125E-2</v>
      </c>
      <c r="Q69" s="39"/>
      <c r="R69" s="46">
        <v>3.125E-2</v>
      </c>
      <c r="S69" s="39"/>
      <c r="T69" s="46">
        <v>2.0833333333333332E-2</v>
      </c>
      <c r="U69" s="40">
        <f t="shared" ref="U69:U76" si="6">IF(SUM(D69:T69)=0,"",SUM(D69:T69))</f>
        <v>0.47916666666666663</v>
      </c>
    </row>
    <row r="70" spans="1:21" ht="15" customHeight="1" thickBot="1" x14ac:dyDescent="0.3">
      <c r="B70" s="41"/>
      <c r="C70" s="62" t="str">
        <f>A4</f>
        <v>Koetschet</v>
      </c>
      <c r="D70" s="42">
        <f>SUMIFS(Journal!$D$4:$D$10013,Journal!$B$4:$B$10013,D$6,Journal!$C$4:$C$10013,$B69)</f>
        <v>0.11458333333333333</v>
      </c>
      <c r="E70" s="43"/>
      <c r="F70" s="42">
        <f>SUMIFS(Journal!$D$4:$D$10013,Journal!$B$4:$B$10013,F$6,Journal!$C$4:$C$10013,$B69)</f>
        <v>0</v>
      </c>
      <c r="G70" s="43"/>
      <c r="H70" s="42">
        <f>SUMIFS(Journal!$D$4:$D$10013,Journal!$B$4:$B$10013,H$6,Journal!$C$4:$C$10013,$B69)</f>
        <v>0.125</v>
      </c>
      <c r="I70" s="43"/>
      <c r="J70" s="42">
        <f>SUMIFS(Journal!$D$4:$D$10013,Journal!$B$4:$B$10013,J$6,Journal!$C$4:$C$10013,$B69)</f>
        <v>3.125E-2</v>
      </c>
      <c r="K70" s="43"/>
      <c r="L70" s="42">
        <f>SUMIFS(Journal!$D$4:$D$10013,Journal!$B$4:$B$10013,L$6,Journal!$C$4:$C$10013,$B69)</f>
        <v>0</v>
      </c>
      <c r="M70" s="43"/>
      <c r="N70" s="42">
        <f>SUMIFS(Journal!$D$4:$D$10013,Journal!$B$4:$B$10013,N$6,Journal!$C$4:$C$10013,$B69)</f>
        <v>0</v>
      </c>
      <c r="O70" s="43"/>
      <c r="P70" s="42">
        <f>SUMIFS(Journal!$D$4:$D$10013,Journal!$B$4:$B$10013,P$6,Journal!$C$4:$C$10013,$B69)</f>
        <v>0</v>
      </c>
      <c r="Q70" s="43"/>
      <c r="R70" s="42">
        <f>SUMIFS(Journal!$D$4:$D$10013,Journal!$B$4:$B$10013,R$6,Journal!$C$4:$C$10013,$B69)</f>
        <v>0</v>
      </c>
      <c r="S70" s="43"/>
      <c r="T70" s="42">
        <f>SUMIFS(Journal!$D$4:$D$10013,Journal!$B$4:$B$10013,T$6,Journal!$C$4:$C$10013,$B69)</f>
        <v>0</v>
      </c>
      <c r="U70" s="44">
        <f t="shared" si="6"/>
        <v>0.27083333333333331</v>
      </c>
    </row>
    <row r="71" spans="1:21" ht="15" customHeight="1" x14ac:dyDescent="0.25">
      <c r="B71" s="5" t="str">
        <f>Base!G34</f>
        <v>42 Rédaction de la documentation</v>
      </c>
      <c r="C71" s="38" t="str">
        <f>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0.20833333333333334</v>
      </c>
      <c r="Q71" s="39"/>
      <c r="R71" s="46">
        <v>0.20833333333333334</v>
      </c>
      <c r="S71" s="39"/>
      <c r="T71" s="46"/>
      <c r="U71" s="40">
        <f t="shared" si="6"/>
        <v>0.81250000000000011</v>
      </c>
    </row>
    <row r="72" spans="1:21" ht="15" customHeight="1" thickBot="1" x14ac:dyDescent="0.3">
      <c r="B72" s="41"/>
      <c r="C72" s="62" t="str">
        <f>A4</f>
        <v>Koetschet</v>
      </c>
      <c r="D72" s="42">
        <f>SUMIFS(Journal!$D$4:$D$10013,Journal!$B$4:$B$10013,D$6,Journal!$C$4:$C$10013,$B71)</f>
        <v>0.10416666666666667</v>
      </c>
      <c r="E72" s="43"/>
      <c r="F72" s="42">
        <f>SUMIFS(Journal!$D$4:$D$10013,Journal!$B$4:$B$10013,F$6,Journal!$C$4:$C$10013,$B71)</f>
        <v>0</v>
      </c>
      <c r="G72" s="43"/>
      <c r="H72" s="42">
        <f>SUMIFS(Journal!$D$4:$D$10013,Journal!$B$4:$B$10013,H$6,Journal!$C$4:$C$10013,$B71)</f>
        <v>3.125E-2</v>
      </c>
      <c r="I72" s="43"/>
      <c r="J72" s="42">
        <f>SUMIFS(Journal!$D$4:$D$10013,Journal!$B$4:$B$10013,J$6,Journal!$C$4:$C$10013,$B71)</f>
        <v>0.125</v>
      </c>
      <c r="K72" s="43"/>
      <c r="L72" s="42">
        <f>SUMIFS(Journal!$D$4:$D$10013,Journal!$B$4:$B$10013,L$6,Journal!$C$4:$C$10013,$B71)</f>
        <v>0</v>
      </c>
      <c r="M72" s="43"/>
      <c r="N72" s="42">
        <f>SUMIFS(Journal!$D$4:$D$10013,Journal!$B$4:$B$10013,N$6,Journal!$C$4:$C$10013,$B71)</f>
        <v>0</v>
      </c>
      <c r="O72" s="43"/>
      <c r="P72" s="42">
        <f>SUMIFS(Journal!$D$4:$D$10013,Journal!$B$4:$B$10013,P$6,Journal!$C$4:$C$10013,$B71)</f>
        <v>0</v>
      </c>
      <c r="Q72" s="43"/>
      <c r="R72" s="42">
        <f>SUMIFS(Journal!$D$4:$D$10013,Journal!$B$4:$B$10013,R$6,Journal!$C$4:$C$10013,$B71)</f>
        <v>0</v>
      </c>
      <c r="S72" s="43"/>
      <c r="T72" s="42">
        <f>SUMIFS(Journal!$D$4:$D$10013,Journal!$B$4:$B$10013,T$6,Journal!$C$4:$C$10013,$B71)</f>
        <v>0</v>
      </c>
      <c r="U72" s="44">
        <f t="shared" si="6"/>
        <v>0.26041666666666669</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v>0.35416666666666669</v>
      </c>
      <c r="U73" s="40">
        <f t="shared" si="6"/>
        <v>0.35416666666666669</v>
      </c>
    </row>
    <row r="74" spans="1:21" ht="15" customHeight="1" thickBot="1" x14ac:dyDescent="0.3">
      <c r="B74" s="41"/>
      <c r="C74" s="62" t="str">
        <f>A4</f>
        <v>Koetschet</v>
      </c>
      <c r="D74" s="42">
        <f>SUMIFS(Journal!$D$4:$D$10013,Journal!$B$4:$B$10013,D$6,Journal!$C$4:$C$10013,$B73)</f>
        <v>0</v>
      </c>
      <c r="E74" s="43"/>
      <c r="F74" s="42">
        <f>SUMIFS(Journal!$D$4:$D$10013,Journal!$B$4:$B$10013,F$6,Journal!$C$4:$C$10013,$B73)</f>
        <v>0</v>
      </c>
      <c r="G74" s="43"/>
      <c r="H74" s="42">
        <f>SUMIFS(Journal!$D$4:$D$10013,Journal!$B$4:$B$10013,H$6,Journal!$C$4:$C$10013,$B73)</f>
        <v>0</v>
      </c>
      <c r="I74" s="43"/>
      <c r="J74" s="42">
        <f>SUMIFS(Journal!$D$4:$D$10013,Journal!$B$4:$B$10013,J$6,Journal!$C$4:$C$10013,$B73)</f>
        <v>0</v>
      </c>
      <c r="K74" s="43"/>
      <c r="L74" s="42">
        <f>SUMIFS(Journal!$D$4:$D$10013,Journal!$B$4:$B$10013,L$6,Journal!$C$4:$C$10013,$B73)</f>
        <v>0</v>
      </c>
      <c r="M74" s="43"/>
      <c r="N74" s="42">
        <f>SUMIFS(Journal!$D$4:$D$10013,Journal!$B$4:$B$10013,N$6,Journal!$C$4:$C$10013,$B73)</f>
        <v>0</v>
      </c>
      <c r="O74" s="43"/>
      <c r="P74" s="42">
        <f>SUMIFS(Journal!$D$4:$D$10013,Journal!$B$4:$B$10013,P$6,Journal!$C$4:$C$10013,$B73)</f>
        <v>0</v>
      </c>
      <c r="Q74" s="43"/>
      <c r="R74" s="42">
        <f>SUMIFS(Journal!$D$4:$D$10013,Journal!$B$4:$B$10013,R$6,Journal!$C$4:$C$10013,$B73)</f>
        <v>0</v>
      </c>
      <c r="S74" s="43"/>
      <c r="T74" s="42">
        <f>SUMIFS(Journal!$D$4:$D$10013,Journal!$B$4:$B$10013,T$6,Journal!$C$4:$C$10013,$B73)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91"/>
      <c r="D76" s="42">
        <f>SUMIFS(Journal!$D$4:$D$10013,Journal!$B$4:$B$10013,D$6,Journal!$C$4:$C$10013,$B75)</f>
        <v>0</v>
      </c>
      <c r="E76" s="43"/>
      <c r="F76" s="42">
        <f>SUMIFS(Journal!$D$4:$D$10013,Journal!$B$4:$B$10013,F$6,Journal!$C$4:$C$10013,$B75)</f>
        <v>0</v>
      </c>
      <c r="G76" s="43"/>
      <c r="H76" s="42">
        <f>SUMIFS(Journal!$D$4:$D$10013,Journal!$B$4:$B$10013,H$6,Journal!$C$4:$C$10013,$B75)</f>
        <v>0</v>
      </c>
      <c r="I76" s="43"/>
      <c r="J76" s="42">
        <f>SUMIFS(Journal!$D$4:$D$10013,Journal!$B$4:$B$10013,J$6,Journal!$C$4:$C$10013,$B75)</f>
        <v>0</v>
      </c>
      <c r="K76" s="43"/>
      <c r="L76" s="42">
        <f>SUMIFS(Journal!$D$4:$D$10013,Journal!$B$4:$B$10013,L$6,Journal!$C$4:$C$10013,$B75)</f>
        <v>0</v>
      </c>
      <c r="M76" s="43"/>
      <c r="N76" s="42">
        <f>SUMIFS(Journal!$D$4:$D$10013,Journal!$B$4:$B$10013,N$6,Journal!$C$4:$C$10013,$B75)</f>
        <v>0</v>
      </c>
      <c r="O76" s="43"/>
      <c r="P76" s="42">
        <f>SUMIFS(Journal!$D$4:$D$10013,Journal!$B$4:$B$10013,P$6,Journal!$C$4:$C$10013,$B75)</f>
        <v>0</v>
      </c>
      <c r="Q76" s="43"/>
      <c r="R76" s="42">
        <f>SUMIFS(Journal!$D$4:$D$10013,Journal!$B$4:$B$10013,R$6,Journal!$C$4:$C$10013,$B75)</f>
        <v>0</v>
      </c>
      <c r="S76" s="43"/>
      <c r="T76" s="42">
        <f>SUMIFS(Journal!$D$4:$D$10013,Journal!$B$4:$B$10013,T$6,Journal!$C$4:$C$10013,$B75)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91"/>
      <c r="D78" s="42">
        <f>SUMIFS(Journal!$D$4:$D$10013,Journal!$B$4:$B$10013,D$6,Journal!$C$4:$C$10013,$B77)</f>
        <v>0</v>
      </c>
      <c r="E78" s="43"/>
      <c r="F78" s="42">
        <f>SUMIFS(Journal!$D$4:$D$10013,Journal!$B$4:$B$10013,F$6,Journal!$C$4:$C$10013,$B77)</f>
        <v>0</v>
      </c>
      <c r="G78" s="43"/>
      <c r="H78" s="42">
        <f>SUMIFS(Journal!$D$4:$D$10013,Journal!$B$4:$B$10013,H$6,Journal!$C$4:$C$10013,$B77)</f>
        <v>0</v>
      </c>
      <c r="I78" s="43"/>
      <c r="J78" s="42">
        <f>SUMIFS(Journal!$D$4:$D$10013,Journal!$B$4:$B$10013,J$6,Journal!$C$4:$C$10013,$B77)</f>
        <v>0</v>
      </c>
      <c r="K78" s="43"/>
      <c r="L78" s="42">
        <f>SUMIFS(Journal!$D$4:$D$10013,Journal!$B$4:$B$10013,L$6,Journal!$C$4:$C$10013,$B77)</f>
        <v>0</v>
      </c>
      <c r="M78" s="43"/>
      <c r="N78" s="42">
        <f>SUMIFS(Journal!$D$4:$D$10013,Journal!$B$4:$B$10013,N$6,Journal!$C$4:$C$10013,$B77)</f>
        <v>0</v>
      </c>
      <c r="O78" s="43"/>
      <c r="P78" s="42">
        <f>SUMIFS(Journal!$D$4:$D$10013,Journal!$B$4:$B$10013,P$6,Journal!$C$4:$C$10013,$B77)</f>
        <v>0</v>
      </c>
      <c r="Q78" s="43"/>
      <c r="R78" s="42">
        <f>SUMIFS(Journal!$D$4:$D$10013,Journal!$B$4:$B$10013,R$6,Journal!$C$4:$C$10013,$B77)</f>
        <v>0</v>
      </c>
      <c r="S78" s="43"/>
      <c r="T78" s="42">
        <f>SUMIFS(Journal!$D$4:$D$10013,Journal!$B$4:$B$10013,T$6,Journal!$C$4:$C$10013,$B77)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91"/>
      <c r="D80" s="42">
        <f>SUMIFS(Journal!$D$4:$D$10013,Journal!$B$4:$B$10013,D$6,Journal!$C$4:$C$10013,$B79)</f>
        <v>0</v>
      </c>
      <c r="E80" s="43"/>
      <c r="F80" s="42">
        <f>SUMIFS(Journal!$D$4:$D$10013,Journal!$B$4:$B$10013,F$6,Journal!$C$4:$C$10013,$B79)</f>
        <v>0</v>
      </c>
      <c r="G80" s="43"/>
      <c r="H80" s="42">
        <f>SUMIFS(Journal!$D$4:$D$10013,Journal!$B$4:$B$10013,H$6,Journal!$C$4:$C$10013,$B79)</f>
        <v>0</v>
      </c>
      <c r="I80" s="43"/>
      <c r="J80" s="42">
        <f>SUMIFS(Journal!$D$4:$D$10013,Journal!$B$4:$B$10013,J$6,Journal!$C$4:$C$10013,$B79)</f>
        <v>0</v>
      </c>
      <c r="K80" s="43"/>
      <c r="L80" s="42">
        <f>SUMIFS(Journal!$D$4:$D$10013,Journal!$B$4:$B$10013,L$6,Journal!$C$4:$C$10013,$B79)</f>
        <v>0</v>
      </c>
      <c r="M80" s="43"/>
      <c r="N80" s="42">
        <f>SUMIFS(Journal!$D$4:$D$10013,Journal!$B$4:$B$10013,N$6,Journal!$C$4:$C$10013,$B79)</f>
        <v>0</v>
      </c>
      <c r="O80" s="43"/>
      <c r="P80" s="42">
        <f>SUMIFS(Journal!$D$4:$D$10013,Journal!$B$4:$B$10013,P$6,Journal!$C$4:$C$10013,$B79)</f>
        <v>0</v>
      </c>
      <c r="Q80" s="43"/>
      <c r="R80" s="42">
        <f>SUMIFS(Journal!$D$4:$D$10013,Journal!$B$4:$B$10013,R$6,Journal!$C$4:$C$10013,$B79)</f>
        <v>0</v>
      </c>
      <c r="S80" s="43"/>
      <c r="T80" s="42">
        <f>SUMIFS(Journal!$D$4:$D$10013,Journal!$B$4:$B$10013,T$6,Journal!$C$4:$C$10013,$B79)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SUMIFS(Journal!$D$4:$D$10013,Journal!$B$4:$B$10013,D$6,Journal!$C$4:$C$10013,$B81)</f>
        <v>0</v>
      </c>
      <c r="E82" s="43"/>
      <c r="F82" s="42">
        <f>SUMIFS(Journal!$D$4:$D$10013,Journal!$B$4:$B$10013,F$6,Journal!$C$4:$C$10013,$B81)</f>
        <v>0</v>
      </c>
      <c r="G82" s="43"/>
      <c r="H82" s="42">
        <f>SUMIFS(Journal!$D$4:$D$10013,Journal!$B$4:$B$10013,H$6,Journal!$C$4:$C$10013,$B81)</f>
        <v>0</v>
      </c>
      <c r="I82" s="43"/>
      <c r="J82" s="42">
        <f>SUMIFS(Journal!$D$4:$D$10013,Journal!$B$4:$B$10013,J$6,Journal!$C$4:$C$10013,$B81)</f>
        <v>0</v>
      </c>
      <c r="K82" s="43"/>
      <c r="L82" s="42">
        <f>SUMIFS(Journal!$D$4:$D$10013,Journal!$B$4:$B$10013,L$6,Journal!$C$4:$C$10013,$B81)</f>
        <v>0</v>
      </c>
      <c r="M82" s="43"/>
      <c r="N82" s="42">
        <f>SUMIFS(Journal!$D$4:$D$10013,Journal!$B$4:$B$10013,N$6,Journal!$C$4:$C$10013,$B81)</f>
        <v>0</v>
      </c>
      <c r="O82" s="43"/>
      <c r="P82" s="42">
        <f>SUMIFS(Journal!$D$4:$D$10013,Journal!$B$4:$B$10013,P$6,Journal!$C$4:$C$10013,$B81)</f>
        <v>0</v>
      </c>
      <c r="Q82" s="43"/>
      <c r="R82" s="42">
        <f>SUMIFS(Journal!$D$4:$D$10013,Journal!$B$4:$B$10013,R$6,Journal!$C$4:$C$10013,$B81)</f>
        <v>0</v>
      </c>
      <c r="S82" s="43"/>
      <c r="T82" s="42">
        <f>SUMIFS(Journal!$D$4:$D$10013,Journal!$B$4:$B$10013,T$6,Journal!$C$4:$C$10013,$B81)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SUMIFS(Journal!$D$4:$D$10013,Journal!$B$4:$B$10013,D$6,Journal!$C$4:$C$10013,$B83)</f>
        <v>0</v>
      </c>
      <c r="E84" s="43"/>
      <c r="F84" s="42">
        <f>SUMIFS(Journal!$D$4:$D$10013,Journal!$B$4:$B$10013,F$6,Journal!$C$4:$C$10013,$B83)</f>
        <v>0</v>
      </c>
      <c r="G84" s="43"/>
      <c r="H84" s="42">
        <f>SUMIFS(Journal!$D$4:$D$10013,Journal!$B$4:$B$10013,H$6,Journal!$C$4:$C$10013,$B83)</f>
        <v>0</v>
      </c>
      <c r="I84" s="43"/>
      <c r="J84" s="42">
        <f>SUMIFS(Journal!$D$4:$D$10013,Journal!$B$4:$B$10013,J$6,Journal!$C$4:$C$10013,$B83)</f>
        <v>0</v>
      </c>
      <c r="K84" s="43"/>
      <c r="L84" s="42">
        <f>SUMIFS(Journal!$D$4:$D$10013,Journal!$B$4:$B$10013,L$6,Journal!$C$4:$C$10013,$B83)</f>
        <v>0</v>
      </c>
      <c r="M84" s="43"/>
      <c r="N84" s="42">
        <f>SUMIFS(Journal!$D$4:$D$10013,Journal!$B$4:$B$10013,N$6,Journal!$C$4:$C$10013,$B83)</f>
        <v>0</v>
      </c>
      <c r="O84" s="43"/>
      <c r="P84" s="42">
        <f>SUMIFS(Journal!$D$4:$D$10013,Journal!$B$4:$B$10013,P$6,Journal!$C$4:$C$10013,$B83)</f>
        <v>0</v>
      </c>
      <c r="Q84" s="43"/>
      <c r="R84" s="42">
        <f>SUMIFS(Journal!$D$4:$D$10013,Journal!$B$4:$B$10013,R$6,Journal!$C$4:$C$10013,$B83)</f>
        <v>0</v>
      </c>
      <c r="S84" s="43"/>
      <c r="T84" s="42">
        <f>SUMIFS(Journal!$D$4:$D$10013,Journal!$B$4:$B$10013,T$6,Journal!$C$4:$C$10013,$B83)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85"/>
      <c r="C86" s="86"/>
      <c r="D86" s="92">
        <f>SUMIFS(Journal!$D$4:$D$10013,Journal!$B$4:$B$10013,D$6,Journal!$C$4:$C$10013,$B85)</f>
        <v>0</v>
      </c>
      <c r="E86" s="88"/>
      <c r="F86" s="87">
        <f>SUMIFS(Journal!$D$4:$D$10013,Journal!$B$4:$B$10013,F$6,Journal!$C$4:$C$10013,$B85)</f>
        <v>0</v>
      </c>
      <c r="G86" s="88"/>
      <c r="H86" s="87">
        <f>SUMIFS(Journal!$D$4:$D$10013,Journal!$B$4:$B$10013,H$6,Journal!$C$4:$C$10013,$B85)</f>
        <v>0</v>
      </c>
      <c r="I86" s="88"/>
      <c r="J86" s="87">
        <f>SUMIFS(Journal!$D$4:$D$10013,Journal!$B$4:$B$10013,J$6,Journal!$C$4:$C$10013,$B85)</f>
        <v>0</v>
      </c>
      <c r="K86" s="88"/>
      <c r="L86" s="87">
        <f>SUMIFS(Journal!$D$4:$D$10013,Journal!$B$4:$B$10013,L$6,Journal!$C$4:$C$10013,$B85)</f>
        <v>0</v>
      </c>
      <c r="M86" s="88"/>
      <c r="N86" s="87">
        <f>SUMIFS(Journal!$D$4:$D$10013,Journal!$B$4:$B$10013,N$6,Journal!$C$4:$C$10013,$B85)</f>
        <v>0</v>
      </c>
      <c r="O86" s="88"/>
      <c r="P86" s="87">
        <f>SUMIFS(Journal!$D$4:$D$10013,Journal!$B$4:$B$10013,P$6,Journal!$C$4:$C$10013,$B85)</f>
        <v>0</v>
      </c>
      <c r="Q86" s="88"/>
      <c r="R86" s="87">
        <f>SUMIFS(Journal!$D$4:$D$10013,Journal!$B$4:$B$10013,R$6,Journal!$C$4:$C$10013,$B85)</f>
        <v>0</v>
      </c>
      <c r="S86" s="88"/>
      <c r="T86" s="93">
        <f>SUMIFS(Journal!$D$4:$D$10013,Journal!$B$4:$B$10013,T$6,Journal!$C$4:$C$10013,$B85)</f>
        <v>0</v>
      </c>
      <c r="U86" s="89"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0.29166666666666669</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91" t="str">
        <f>A4</f>
        <v>Koetschet</v>
      </c>
      <c r="D90" s="42">
        <f>SUMIFS(Journal!$D$4:$D$10013,Journal!$B$4:$B$10013,D$6,Journal!$C$4:$C$10013,$B89)</f>
        <v>0.15625</v>
      </c>
      <c r="E90" s="43"/>
      <c r="F90" s="42">
        <f>SUMIFS(Journal!$D$4:$D$10013,Journal!$B$4:$B$10013,F$6,Journal!$C$4:$C$10013,$B89)</f>
        <v>0</v>
      </c>
      <c r="G90" s="43"/>
      <c r="H90" s="42">
        <f>SUMIFS(Journal!$D$4:$D$10013,Journal!$B$4:$B$10013,H$6,Journal!$C$4:$C$10013,$B89)</f>
        <v>9.375E-2</v>
      </c>
      <c r="I90" s="43"/>
      <c r="J90" s="42">
        <f>SUMIFS(Journal!$D$4:$D$10013,Journal!$B$4:$B$10013,J$6,Journal!$C$4:$C$10013,$B89)</f>
        <v>0</v>
      </c>
      <c r="K90" s="43"/>
      <c r="L90" s="42">
        <f>SUMIFS(Journal!$D$4:$D$10013,Journal!$B$4:$B$10013,L$6,Journal!$C$4:$C$10013,$B89)</f>
        <v>4.1666666666666664E-2</v>
      </c>
      <c r="M90" s="43"/>
      <c r="N90" s="42">
        <f>SUMIFS(Journal!$D$4:$D$10013,Journal!$B$4:$B$10013,N$6,Journal!$C$4:$C$10013,$B89)</f>
        <v>0</v>
      </c>
      <c r="O90" s="43"/>
      <c r="P90" s="42">
        <f>SUMIFS(Journal!$D$4:$D$10013,Journal!$B$4:$B$10013,P$6,Journal!$C$4:$C$10013,$B89)</f>
        <v>0</v>
      </c>
      <c r="Q90" s="43"/>
      <c r="R90" s="42">
        <f>SUMIFS(Journal!$D$4:$D$10013,Journal!$B$4:$B$10013,R$6,Journal!$C$4:$C$10013,$B89)</f>
        <v>0</v>
      </c>
      <c r="S90" s="43"/>
      <c r="T90" s="42">
        <f>SUMIFS(Journal!$D$4:$D$10013,Journal!$B$4:$B$10013,T$6,Journal!$C$4:$C$10013,$B89)</f>
        <v>0</v>
      </c>
      <c r="U90" s="44">
        <f t="shared" si="8"/>
        <v>0.29166666666666669</v>
      </c>
    </row>
    <row r="91" spans="1:21" x14ac:dyDescent="0.25">
      <c r="B91" s="5" t="str">
        <f>Base!G43</f>
        <v>52 Travail en dehors de l'horaire officiel</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91"/>
      <c r="D92" s="42">
        <f>SUMIFS(Journal!$D$4:$D$10013,Journal!$B$4:$B$10013,D$6,Journal!$C$4:$C$10013,$B91)</f>
        <v>0</v>
      </c>
      <c r="E92" s="43"/>
      <c r="F92" s="42">
        <f>SUMIFS(Journal!$D$4:$D$10013,Journal!$B$4:$B$10013,F$6,Journal!$C$4:$C$10013,$B91)</f>
        <v>0</v>
      </c>
      <c r="G92" s="43"/>
      <c r="H92" s="42">
        <f>SUMIFS(Journal!$D$4:$D$10013,Journal!$B$4:$B$10013,H$6,Journal!$C$4:$C$10013,$B91)</f>
        <v>0</v>
      </c>
      <c r="I92" s="43"/>
      <c r="J92" s="42">
        <f>SUMIFS(Journal!$D$4:$D$10013,Journal!$B$4:$B$10013,J$6,Journal!$C$4:$C$10013,$B91)</f>
        <v>0</v>
      </c>
      <c r="K92" s="43"/>
      <c r="L92" s="42">
        <f>SUMIFS(Journal!$D$4:$D$10013,Journal!$B$4:$B$10013,L$6,Journal!$C$4:$C$10013,$B91)</f>
        <v>0</v>
      </c>
      <c r="M92" s="43"/>
      <c r="N92" s="42">
        <f>SUMIFS(Journal!$D$4:$D$10013,Journal!$B$4:$B$10013,N$6,Journal!$C$4:$C$10013,$B91)</f>
        <v>0</v>
      </c>
      <c r="O92" s="43"/>
      <c r="P92" s="42">
        <f>SUMIFS(Journal!$D$4:$D$10013,Journal!$B$4:$B$10013,P$6,Journal!$C$4:$C$10013,$B91)</f>
        <v>0</v>
      </c>
      <c r="Q92" s="43"/>
      <c r="R92" s="42">
        <f>SUMIFS(Journal!$D$4:$D$10013,Journal!$B$4:$B$10013,R$6,Journal!$C$4:$C$10013,$B91)</f>
        <v>0</v>
      </c>
      <c r="S92" s="43"/>
      <c r="T92" s="42">
        <f>SUMIFS(Journal!$D$4:$D$10013,Journal!$B$4:$B$10013,T$6,Journal!$C$4:$C$10013,$B91)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91"/>
      <c r="D94" s="42">
        <f>SUMIFS(Journal!$D$4:$D$10013,Journal!$B$4:$B$10013,D$6,Journal!$C$4:$C$10013,$B93)</f>
        <v>0</v>
      </c>
      <c r="E94" s="43"/>
      <c r="F94" s="42">
        <f>SUMIFS(Journal!$D$4:$D$10013,Journal!$B$4:$B$10013,F$6,Journal!$C$4:$C$10013,$B93)</f>
        <v>0</v>
      </c>
      <c r="G94" s="43"/>
      <c r="H94" s="42">
        <f>SUMIFS(Journal!$D$4:$D$10013,Journal!$B$4:$B$10013,H$6,Journal!$C$4:$C$10013,$B93)</f>
        <v>0</v>
      </c>
      <c r="I94" s="43"/>
      <c r="J94" s="42">
        <f>SUMIFS(Journal!$D$4:$D$10013,Journal!$B$4:$B$10013,J$6,Journal!$C$4:$C$10013,$B93)</f>
        <v>0</v>
      </c>
      <c r="K94" s="43"/>
      <c r="L94" s="42">
        <f>SUMIFS(Journal!$D$4:$D$10013,Journal!$B$4:$B$10013,L$6,Journal!$C$4:$C$10013,$B93)</f>
        <v>0</v>
      </c>
      <c r="M94" s="43"/>
      <c r="N94" s="42">
        <f>SUMIFS(Journal!$D$4:$D$10013,Journal!$B$4:$B$10013,N$6,Journal!$C$4:$C$10013,$B93)</f>
        <v>0</v>
      </c>
      <c r="O94" s="43"/>
      <c r="P94" s="42">
        <f>SUMIFS(Journal!$D$4:$D$10013,Journal!$B$4:$B$10013,P$6,Journal!$C$4:$C$10013,$B93)</f>
        <v>0</v>
      </c>
      <c r="Q94" s="43"/>
      <c r="R94" s="42">
        <f>SUMIFS(Journal!$D$4:$D$10013,Journal!$B$4:$B$10013,R$6,Journal!$C$4:$C$10013,$B93)</f>
        <v>0</v>
      </c>
      <c r="S94" s="43"/>
      <c r="T94" s="42">
        <f>SUMIFS(Journal!$D$4:$D$10013,Journal!$B$4:$B$10013,T$6,Journal!$C$4:$C$10013,$B93)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91"/>
      <c r="D96" s="42">
        <f>SUMIFS(Journal!$D$4:$D$10013,Journal!$B$4:$B$10013,D$6,Journal!$C$4:$C$10013,$B95)</f>
        <v>0</v>
      </c>
      <c r="E96" s="43"/>
      <c r="F96" s="42">
        <f>SUMIFS(Journal!$D$4:$D$10013,Journal!$B$4:$B$10013,F$6,Journal!$C$4:$C$10013,$B95)</f>
        <v>0</v>
      </c>
      <c r="G96" s="43"/>
      <c r="H96" s="42">
        <f>SUMIFS(Journal!$D$4:$D$10013,Journal!$B$4:$B$10013,H$6,Journal!$C$4:$C$10013,$B95)</f>
        <v>0</v>
      </c>
      <c r="I96" s="43"/>
      <c r="J96" s="42">
        <f>SUMIFS(Journal!$D$4:$D$10013,Journal!$B$4:$B$10013,J$6,Journal!$C$4:$C$10013,$B95)</f>
        <v>0</v>
      </c>
      <c r="K96" s="43"/>
      <c r="L96" s="42">
        <f>SUMIFS(Journal!$D$4:$D$10013,Journal!$B$4:$B$10013,L$6,Journal!$C$4:$C$10013,$B95)</f>
        <v>0</v>
      </c>
      <c r="M96" s="43"/>
      <c r="N96" s="42">
        <f>SUMIFS(Journal!$D$4:$D$10013,Journal!$B$4:$B$10013,N$6,Journal!$C$4:$C$10013,$B95)</f>
        <v>0</v>
      </c>
      <c r="O96" s="43"/>
      <c r="P96" s="42">
        <f>SUMIFS(Journal!$D$4:$D$10013,Journal!$B$4:$B$10013,P$6,Journal!$C$4:$C$10013,$B95)</f>
        <v>0</v>
      </c>
      <c r="Q96" s="43"/>
      <c r="R96" s="42">
        <f>SUMIFS(Journal!$D$4:$D$10013,Journal!$B$4:$B$10013,R$6,Journal!$C$4:$C$10013,$B95)</f>
        <v>0</v>
      </c>
      <c r="S96" s="43"/>
      <c r="T96" s="42">
        <f>SUMIFS(Journal!$D$4:$D$10013,Journal!$B$4:$B$10013,T$6,Journal!$C$4:$C$10013,$B95)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91"/>
      <c r="D98" s="42">
        <f>SUMIFS(Journal!$D$4:$D$10013,Journal!$B$4:$B$10013,D$6,Journal!$C$4:$C$10013,$B97)</f>
        <v>0</v>
      </c>
      <c r="E98" s="43"/>
      <c r="F98" s="42">
        <f>SUMIFS(Journal!$D$4:$D$10013,Journal!$B$4:$B$10013,F$6,Journal!$C$4:$C$10013,$B97)</f>
        <v>0</v>
      </c>
      <c r="G98" s="43"/>
      <c r="H98" s="42">
        <f>SUMIFS(Journal!$D$4:$D$10013,Journal!$B$4:$B$10013,H$6,Journal!$C$4:$C$10013,$B97)</f>
        <v>0</v>
      </c>
      <c r="I98" s="43"/>
      <c r="J98" s="42">
        <f>SUMIFS(Journal!$D$4:$D$10013,Journal!$B$4:$B$10013,J$6,Journal!$C$4:$C$10013,$B97)</f>
        <v>0</v>
      </c>
      <c r="K98" s="43"/>
      <c r="L98" s="42">
        <f>SUMIFS(Journal!$D$4:$D$10013,Journal!$B$4:$B$10013,L$6,Journal!$C$4:$C$10013,$B97)</f>
        <v>0</v>
      </c>
      <c r="M98" s="43"/>
      <c r="N98" s="42">
        <f>SUMIFS(Journal!$D$4:$D$10013,Journal!$B$4:$B$10013,N$6,Journal!$C$4:$C$10013,$B97)</f>
        <v>0</v>
      </c>
      <c r="O98" s="43"/>
      <c r="P98" s="42">
        <f>SUMIFS(Journal!$D$4:$D$10013,Journal!$B$4:$B$10013,P$6,Journal!$C$4:$C$10013,$B97)</f>
        <v>0</v>
      </c>
      <c r="Q98" s="43"/>
      <c r="R98" s="42">
        <f>SUMIFS(Journal!$D$4:$D$10013,Journal!$B$4:$B$10013,R$6,Journal!$C$4:$C$10013,$B97)</f>
        <v>0</v>
      </c>
      <c r="S98" s="43"/>
      <c r="T98" s="42">
        <f>SUMIFS(Journal!$D$4:$D$10013,Journal!$B$4:$B$10013,T$6,Journal!$C$4:$C$10013,$B97)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91"/>
      <c r="D100" s="42">
        <f>SUMIFS(Journal!$D$4:$D$10013,Journal!$B$4:$B$10013,D$6,Journal!$C$4:$C$10013,$B99)</f>
        <v>0</v>
      </c>
      <c r="E100" s="43"/>
      <c r="F100" s="42">
        <f>SUMIFS(Journal!$D$4:$D$10013,Journal!$B$4:$B$10013,F$6,Journal!$C$4:$C$10013,$B99)</f>
        <v>0</v>
      </c>
      <c r="G100" s="43"/>
      <c r="H100" s="42">
        <f>SUMIFS(Journal!$D$4:$D$10013,Journal!$B$4:$B$10013,H$6,Journal!$C$4:$C$10013,$B99)</f>
        <v>0</v>
      </c>
      <c r="I100" s="43"/>
      <c r="J100" s="42">
        <f>SUMIFS(Journal!$D$4:$D$10013,Journal!$B$4:$B$10013,J$6,Journal!$C$4:$C$10013,$B99)</f>
        <v>0</v>
      </c>
      <c r="K100" s="43"/>
      <c r="L100" s="42">
        <f>SUMIFS(Journal!$D$4:$D$10013,Journal!$B$4:$B$10013,L$6,Journal!$C$4:$C$10013,$B99)</f>
        <v>0</v>
      </c>
      <c r="M100" s="43"/>
      <c r="N100" s="42">
        <f>SUMIFS(Journal!$D$4:$D$10013,Journal!$B$4:$B$10013,N$6,Journal!$C$4:$C$10013,$B99)</f>
        <v>0</v>
      </c>
      <c r="O100" s="43"/>
      <c r="P100" s="42">
        <f>SUMIFS(Journal!$D$4:$D$10013,Journal!$B$4:$B$10013,P$6,Journal!$C$4:$C$10013,$B99)</f>
        <v>0</v>
      </c>
      <c r="Q100" s="43"/>
      <c r="R100" s="42">
        <f>SUMIFS(Journal!$D$4:$D$10013,Journal!$B$4:$B$10013,R$6,Journal!$C$4:$C$10013,$B99)</f>
        <v>0</v>
      </c>
      <c r="S100" s="43"/>
      <c r="T100" s="42">
        <f>SUMIFS(Journal!$D$4:$D$10013,Journal!$B$4:$B$10013,T$6,Journal!$C$4:$C$10013,$B99)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91"/>
      <c r="D102" s="42">
        <f>SUMIFS(Journal!$D$4:$D$10013,Journal!$B$4:$B$10013,D$6,Journal!$C$4:$C$10013,$B101)</f>
        <v>0</v>
      </c>
      <c r="E102" s="43"/>
      <c r="F102" s="42">
        <f>SUMIFS(Journal!$D$4:$D$10013,Journal!$B$4:$B$10013,F$6,Journal!$C$4:$C$10013,$B101)</f>
        <v>0</v>
      </c>
      <c r="G102" s="43"/>
      <c r="H102" s="42">
        <f>SUMIFS(Journal!$D$4:$D$10013,Journal!$B$4:$B$10013,H$6,Journal!$C$4:$C$10013,$B101)</f>
        <v>0</v>
      </c>
      <c r="I102" s="43"/>
      <c r="J102" s="42">
        <f>SUMIFS(Journal!$D$4:$D$10013,Journal!$B$4:$B$10013,J$6,Journal!$C$4:$C$10013,$B101)</f>
        <v>0</v>
      </c>
      <c r="K102" s="43"/>
      <c r="L102" s="42">
        <f>SUMIFS(Journal!$D$4:$D$10013,Journal!$B$4:$B$10013,L$6,Journal!$C$4:$C$10013,$B101)</f>
        <v>0</v>
      </c>
      <c r="M102" s="43"/>
      <c r="N102" s="42">
        <f>SUMIFS(Journal!$D$4:$D$10013,Journal!$B$4:$B$10013,N$6,Journal!$C$4:$C$10013,$B101)</f>
        <v>0</v>
      </c>
      <c r="O102" s="43"/>
      <c r="P102" s="42">
        <f>SUMIFS(Journal!$D$4:$D$10013,Journal!$B$4:$B$10013,P$6,Journal!$C$4:$C$10013,$B101)</f>
        <v>0</v>
      </c>
      <c r="Q102" s="43"/>
      <c r="R102" s="42">
        <f>SUMIFS(Journal!$D$4:$D$10013,Journal!$B$4:$B$10013,R$6,Journal!$C$4:$C$10013,$B101)</f>
        <v>0</v>
      </c>
      <c r="S102" s="43"/>
      <c r="T102" s="42">
        <f>SUMIFS(Journal!$D$4:$D$10013,Journal!$B$4:$B$10013,T$6,Journal!$C$4:$C$10013,$B101)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91"/>
      <c r="D104" s="42">
        <f>SUMIFS(Journal!$D$4:$D$10013,Journal!$B$4:$B$10013,D$6,Journal!$C$4:$C$10013,$B103)</f>
        <v>0</v>
      </c>
      <c r="E104" s="43"/>
      <c r="F104" s="42">
        <f>SUMIFS(Journal!$D$4:$D$10013,Journal!$B$4:$B$10013,F$6,Journal!$C$4:$C$10013,$B103)</f>
        <v>0</v>
      </c>
      <c r="G104" s="43"/>
      <c r="H104" s="42">
        <f>SUMIFS(Journal!$D$4:$D$10013,Journal!$B$4:$B$10013,H$6,Journal!$C$4:$C$10013,$B103)</f>
        <v>0</v>
      </c>
      <c r="I104" s="43"/>
      <c r="J104" s="42">
        <f>SUMIFS(Journal!$D$4:$D$10013,Journal!$B$4:$B$10013,J$6,Journal!$C$4:$C$10013,$B103)</f>
        <v>0</v>
      </c>
      <c r="K104" s="43"/>
      <c r="L104" s="42">
        <f>SUMIFS(Journal!$D$4:$D$10013,Journal!$B$4:$B$10013,L$6,Journal!$C$4:$C$10013,$B103)</f>
        <v>0</v>
      </c>
      <c r="M104" s="43"/>
      <c r="N104" s="42">
        <f>SUMIFS(Journal!$D$4:$D$10013,Journal!$B$4:$B$10013,N$6,Journal!$C$4:$C$10013,$B103)</f>
        <v>0</v>
      </c>
      <c r="O104" s="43"/>
      <c r="P104" s="42">
        <f>SUMIFS(Journal!$D$4:$D$10013,Journal!$B$4:$B$10013,P$6,Journal!$C$4:$C$10013,$B103)</f>
        <v>0</v>
      </c>
      <c r="Q104" s="43"/>
      <c r="R104" s="42">
        <f>SUMIFS(Journal!$D$4:$D$10013,Journal!$B$4:$B$10013,R$6,Journal!$C$4:$C$10013,$B103)</f>
        <v>0</v>
      </c>
      <c r="S104" s="43"/>
      <c r="T104" s="42">
        <f>SUMIFS(Journal!$D$4:$D$10013,Journal!$B$4:$B$10013,T$6,Journal!$C$4:$C$10013,$B103)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85"/>
      <c r="C106" s="94"/>
      <c r="D106" s="92">
        <f>SUMIFS(Journal!$D$4:$D$10013,Journal!$B$4:$B$10013,D$6,Journal!$C$4:$C$10013,$B105)</f>
        <v>0</v>
      </c>
      <c r="E106" s="88"/>
      <c r="F106" s="87">
        <f>SUMIFS(Journal!$D$4:$D$10013,Journal!$B$4:$B$10013,F$6,Journal!$C$4:$C$10013,$B105)</f>
        <v>0</v>
      </c>
      <c r="G106" s="88"/>
      <c r="H106" s="87">
        <f>SUMIFS(Journal!$D$4:$D$10013,Journal!$B$4:$B$10013,H$6,Journal!$C$4:$C$10013,$B105)</f>
        <v>0</v>
      </c>
      <c r="I106" s="88"/>
      <c r="J106" s="87">
        <f>SUMIFS(Journal!$D$4:$D$10013,Journal!$B$4:$B$10013,J$6,Journal!$C$4:$C$10013,$B105)</f>
        <v>0</v>
      </c>
      <c r="K106" s="88"/>
      <c r="L106" s="87">
        <f>SUMIFS(Journal!$D$4:$D$10013,Journal!$B$4:$B$10013,L$6,Journal!$C$4:$C$10013,$B105)</f>
        <v>0</v>
      </c>
      <c r="M106" s="88"/>
      <c r="N106" s="87">
        <f>SUMIFS(Journal!$D$4:$D$10013,Journal!$B$4:$B$10013,N$6,Journal!$C$4:$C$10013,$B105)</f>
        <v>0</v>
      </c>
      <c r="O106" s="88"/>
      <c r="P106" s="87">
        <f>SUMIFS(Journal!$D$4:$D$10013,Journal!$B$4:$B$10013,P$6,Journal!$C$4:$C$10013,$B105)</f>
        <v>0</v>
      </c>
      <c r="Q106" s="88"/>
      <c r="R106" s="87">
        <f>SUMIFS(Journal!$D$4:$D$10013,Journal!$B$4:$B$10013,R$6,Journal!$C$4:$C$10013,$B105)</f>
        <v>0</v>
      </c>
      <c r="S106" s="88"/>
      <c r="T106" s="93">
        <f>SUMIFS(Journal!$D$4:$D$10013,Journal!$B$4:$B$10013,T$6,Journal!$C$4:$C$10013,$B105)</f>
        <v>0</v>
      </c>
      <c r="U106" s="89" t="str">
        <f t="shared" si="9"/>
        <v/>
      </c>
    </row>
  </sheetData>
  <sheetProtection selectLockedCells="1"/>
  <conditionalFormatting sqref="B3">
    <cfRule type="colorScale" priority="1592">
      <colorScale>
        <cfvo type="num" val="1"/>
        <cfvo type="num" val="100000"/>
        <color theme="0" tint="-0.14999847407452621"/>
        <color theme="0" tint="-0.14999847407452621"/>
      </colorScale>
    </cfRule>
  </conditionalFormatting>
  <conditionalFormatting sqref="D4:T5">
    <cfRule type="cellIs" dxfId="40" priority="1583" stopIfTrue="1" operator="greaterThan">
      <formula>0</formula>
    </cfRule>
  </conditionalFormatting>
  <conditionalFormatting sqref="D3">
    <cfRule type="colorScale" priority="1496">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39" priority="986" operator="greaterThan">
      <formula>0</formula>
    </cfRule>
  </conditionalFormatting>
  <conditionalFormatting sqref="D10:T10 D12:T12 D14:T14 D16:T16 D18:U18 D20:U20 D22:U22 D24:U24 D26:U26">
    <cfRule type="cellIs" dxfId="38" priority="974" operator="greaterThan">
      <formula>0</formula>
    </cfRule>
  </conditionalFormatting>
  <conditionalFormatting sqref="F3">
    <cfRule type="colorScale" priority="765">
      <colorScale>
        <cfvo type="num" val="1"/>
        <cfvo type="num" val="100000"/>
        <color theme="0" tint="-0.14999847407452621"/>
        <color theme="0" tint="-0.14999847407452621"/>
      </colorScale>
    </cfRule>
  </conditionalFormatting>
  <conditionalFormatting sqref="H3">
    <cfRule type="colorScale" priority="762">
      <colorScale>
        <cfvo type="num" val="1"/>
        <cfvo type="num" val="100000"/>
        <color theme="0" tint="-0.14999847407452621"/>
        <color theme="0" tint="-0.14999847407452621"/>
      </colorScale>
    </cfRule>
  </conditionalFormatting>
  <conditionalFormatting sqref="J3">
    <cfRule type="colorScale" priority="759">
      <colorScale>
        <cfvo type="num" val="1"/>
        <cfvo type="num" val="100000"/>
        <color theme="0" tint="-0.14999847407452621"/>
        <color theme="0" tint="-0.14999847407452621"/>
      </colorScale>
    </cfRule>
  </conditionalFormatting>
  <conditionalFormatting sqref="L3">
    <cfRule type="colorScale" priority="756">
      <colorScale>
        <cfvo type="num" val="1"/>
        <cfvo type="num" val="100000"/>
        <color theme="0" tint="-0.14999847407452621"/>
        <color theme="0" tint="-0.14999847407452621"/>
      </colorScale>
    </cfRule>
  </conditionalFormatting>
  <conditionalFormatting sqref="N3">
    <cfRule type="colorScale" priority="753">
      <colorScale>
        <cfvo type="num" val="1"/>
        <cfvo type="num" val="100000"/>
        <color theme="0" tint="-0.14999847407452621"/>
        <color theme="0" tint="-0.14999847407452621"/>
      </colorScale>
    </cfRule>
  </conditionalFormatting>
  <conditionalFormatting sqref="P3">
    <cfRule type="colorScale" priority="750">
      <colorScale>
        <cfvo type="num" val="1"/>
        <cfvo type="num" val="100000"/>
        <color theme="0" tint="-0.14999847407452621"/>
        <color theme="0" tint="-0.14999847407452621"/>
      </colorScale>
    </cfRule>
  </conditionalFormatting>
  <conditionalFormatting sqref="R3">
    <cfRule type="colorScale" priority="747">
      <colorScale>
        <cfvo type="num" val="1"/>
        <cfvo type="num" val="100000"/>
        <color theme="0" tint="-0.14999847407452621"/>
        <color theme="0" tint="-0.14999847407452621"/>
      </colorScale>
    </cfRule>
  </conditionalFormatting>
  <conditionalFormatting sqref="T3">
    <cfRule type="colorScale" priority="744">
      <colorScale>
        <cfvo type="num" val="1"/>
        <cfvo type="num" val="100000"/>
        <color theme="0" tint="-0.14999847407452621"/>
        <color theme="0" tint="-0.14999847407452621"/>
      </colorScale>
    </cfRule>
  </conditionalFormatting>
  <conditionalFormatting sqref="U9 U11 U13 U15">
    <cfRule type="cellIs" dxfId="37" priority="558" operator="greaterThan">
      <formula>0</formula>
    </cfRule>
  </conditionalFormatting>
  <conditionalFormatting sqref="U10 U12 U14 U16">
    <cfRule type="cellIs" dxfId="36" priority="557"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35" priority="506" operator="greaterThan">
      <formula>0</formula>
    </cfRule>
  </conditionalFormatting>
  <conditionalFormatting sqref="U76 U74 U72 U70 U58 U56 U54 U52 U50 U38 U36 U34 U32 U30 U40 U42 U44 U46 U64 U62 U60 U66 U78 U80 U82 U84 U86 U96 U94 U92 U90 U98 U100 U102 U104 U106">
    <cfRule type="cellIs" dxfId="34" priority="505" operator="greaterThan">
      <formula>0</formula>
    </cfRule>
  </conditionalFormatting>
  <conditionalFormatting sqref="D29:T29 D37:T37 D39:T39 D41:T41 D43:T43 D45:T45 D31:T31 D33:G33 D35:T35">
    <cfRule type="cellIs" dxfId="33" priority="428"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32" priority="427" operator="greaterThan">
      <formula>0</formula>
    </cfRule>
  </conditionalFormatting>
  <conditionalFormatting sqref="D49:I49 D51:I51 D53:K53 D55:K55 D57:T57 D59:K59 D61:T61 D63:T63 D65:T65 K49:T49 K51 M51:T51 M53:T53 M55 M59:T59 O55:T55">
    <cfRule type="cellIs" dxfId="31" priority="422"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30" priority="421" operator="greaterThan">
      <formula>0</formula>
    </cfRule>
  </conditionalFormatting>
  <conditionalFormatting sqref="D73:T73 D75:T75 D77:T77 D79:T79 D81:T81 D83:T83 D85:T85 D69:T69 D71:T71 D89:T89 D91:T91 D93:T93 D95:T95 D97:T97 D99:T99 D101:T101 D103:T103 D105:T105">
    <cfRule type="cellIs" dxfId="29" priority="416"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28" priority="415" operator="greaterThan">
      <formula>0</formula>
    </cfRule>
  </conditionalFormatting>
  <conditionalFormatting sqref="C10 C30 C50 C70 C90">
    <cfRule type="containsText" dxfId="27" priority="391" operator="containsText" text="Koetschet">
      <formula>NOT(ISERROR(SEARCH("Koetschet",C10)))</formula>
    </cfRule>
  </conditionalFormatting>
  <conditionalFormatting sqref="C46 C66 C86 C106">
    <cfRule type="containsText" dxfId="26" priority="206" operator="containsText" text="Koetschet">
      <formula>NOT(ISERROR(SEARCH("Koetschet",C46)))</formula>
    </cfRule>
    <cfRule type="containsText" dxfId="25" priority="207" operator="containsText" text="Gumy">
      <formula>NOT(ISERROR(SEARCH("Gumy",C46)))</formula>
    </cfRule>
    <cfRule type="containsText" dxfId="24" priority="208" operator="containsText" text="Moser">
      <formula>NOT(ISERROR(SEARCH("Moser",C46)))</formula>
    </cfRule>
    <cfRule type="containsText" dxfId="23" priority="209" operator="containsText" text="Mayor">
      <formula>NOT(ISERROR(SEARCH("Mayor",C46)))</formula>
    </cfRule>
    <cfRule type="containsText" dxfId="22" priority="210" operator="containsText" text="Martin-Penalosa">
      <formula>NOT(ISERROR(SEARCH("Martin-Penalosa",C46)))</formula>
    </cfRule>
  </conditionalFormatting>
  <conditionalFormatting sqref="C22 C42 C62 C82 C102">
    <cfRule type="containsText" dxfId="21" priority="216" operator="containsText" text="Koetschet">
      <formula>NOT(ISERROR(SEARCH("Koetschet",C22)))</formula>
    </cfRule>
  </conditionalFormatting>
  <conditionalFormatting sqref="C44 C64 C84 C104">
    <cfRule type="containsText" dxfId="20" priority="211" operator="containsText" text="Koetschet">
      <formula>NOT(ISERROR(SEARCH("Koetschet",C44)))</formula>
    </cfRule>
    <cfRule type="containsText" dxfId="19" priority="212" operator="containsText" text="Gumy">
      <formula>NOT(ISERROR(SEARCH("Gumy",C44)))</formula>
    </cfRule>
    <cfRule type="containsText" dxfId="18" priority="213" operator="containsText" text="Moser">
      <formula>NOT(ISERROR(SEARCH("Moser",C44)))</formula>
    </cfRule>
    <cfRule type="containsText" dxfId="17" priority="214" operator="containsText" text="Mayor">
      <formula>NOT(ISERROR(SEARCH("Mayor",C44)))</formula>
    </cfRule>
    <cfRule type="containsText" dxfId="16" priority="215"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15" priority="19"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14" priority="18"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13" priority="17" operator="greaterThan">
      <formula>0</formula>
    </cfRule>
  </conditionalFormatting>
  <conditionalFormatting sqref="C12 C32 C52 C72 C92">
    <cfRule type="containsText" dxfId="12" priority="15" operator="containsText" text="Koetschet">
      <formula>NOT(ISERROR(SEARCH("Koetschet",C12)))</formula>
    </cfRule>
  </conditionalFormatting>
  <conditionalFormatting sqref="C14 C34 C54 C74 C94">
    <cfRule type="containsText" dxfId="11" priority="14" operator="containsText" text="Koetschet">
      <formula>NOT(ISERROR(SEARCH("Koetschet",C14)))</formula>
    </cfRule>
  </conditionalFormatting>
  <conditionalFormatting sqref="C16 C36 C56 C76 C96">
    <cfRule type="containsText" dxfId="10" priority="13" operator="containsText" text="Koetschet">
      <formula>NOT(ISERROR(SEARCH("Koetschet",C16)))</formula>
    </cfRule>
  </conditionalFormatting>
  <conditionalFormatting sqref="C18 C38 C58 C78 C98">
    <cfRule type="containsText" dxfId="9" priority="12" operator="containsText" text="Koetschet">
      <formula>NOT(ISERROR(SEARCH("Koetschet",C18)))</formula>
    </cfRule>
  </conditionalFormatting>
  <conditionalFormatting sqref="C20 C40 C60 C80 C100">
    <cfRule type="containsText" dxfId="8" priority="11" operator="containsText" text="Koetschet">
      <formula>NOT(ISERROR(SEARCH("Koetschet",C20)))</formula>
    </cfRule>
  </conditionalFormatting>
  <conditionalFormatting sqref="C24">
    <cfRule type="containsText" dxfId="7" priority="8" operator="containsText" text="Koetschet">
      <formula>NOT(ISERROR(SEARCH("Koetschet",C24)))</formula>
    </cfRule>
  </conditionalFormatting>
  <conditionalFormatting sqref="C26">
    <cfRule type="containsText" dxfId="6" priority="7" operator="containsText" text="Koetschet">
      <formula>NOT(ISERROR(SEARCH("Koetschet",C26)))</formula>
    </cfRule>
  </conditionalFormatting>
  <conditionalFormatting sqref="J49">
    <cfRule type="cellIs" dxfId="5" priority="6" operator="greaterThan">
      <formula>0</formula>
    </cfRule>
  </conditionalFormatting>
  <conditionalFormatting sqref="J51">
    <cfRule type="cellIs" dxfId="4" priority="5" operator="greaterThan">
      <formula>0</formula>
    </cfRule>
  </conditionalFormatting>
  <conditionalFormatting sqref="L51">
    <cfRule type="cellIs" dxfId="3" priority="4" operator="greaterThan">
      <formula>0</formula>
    </cfRule>
  </conditionalFormatting>
  <conditionalFormatting sqref="L53">
    <cfRule type="cellIs" dxfId="2" priority="3" operator="greaterThan">
      <formula>0</formula>
    </cfRule>
  </conditionalFormatting>
  <conditionalFormatting sqref="N55">
    <cfRule type="cellIs" dxfId="1" priority="2" operator="greaterThan">
      <formula>0</formula>
    </cfRule>
  </conditionalFormatting>
  <conditionalFormatting sqref="L59">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3"/>
  <sheetViews>
    <sheetView topLeftCell="A10" zoomScaleNormal="100" workbookViewId="0">
      <selection activeCell="C30" sqref="C30"/>
    </sheetView>
  </sheetViews>
  <sheetFormatPr baseColWidth="10" defaultRowHeight="15" x14ac:dyDescent="0.25"/>
  <cols>
    <col min="1" max="2" width="11.42578125" style="9"/>
    <col min="3" max="3" width="50" style="9" bestFit="1" customWidth="1"/>
    <col min="4" max="4" width="11" style="9" customWidth="1"/>
    <col min="5" max="5" width="52.28515625" style="99" customWidth="1"/>
    <col min="6" max="6" width="50.42578125" style="9" customWidth="1"/>
    <col min="7" max="16384" width="11.42578125" style="9"/>
  </cols>
  <sheetData>
    <row r="1" spans="1:6" x14ac:dyDescent="0.25">
      <c r="A1" s="65"/>
      <c r="B1" s="65"/>
      <c r="C1" s="66"/>
      <c r="D1" s="67"/>
      <c r="F1" s="68"/>
    </row>
    <row r="2" spans="1:6" x14ac:dyDescent="0.25">
      <c r="A2" s="98" t="s">
        <v>64</v>
      </c>
      <c r="B2" s="98"/>
      <c r="C2" s="67"/>
      <c r="D2" s="67"/>
      <c r="F2" s="69"/>
    </row>
    <row r="3" spans="1:6" x14ac:dyDescent="0.25">
      <c r="A3" s="70" t="s">
        <v>40</v>
      </c>
      <c r="B3" s="70" t="s">
        <v>41</v>
      </c>
      <c r="C3" s="70" t="s">
        <v>42</v>
      </c>
      <c r="D3" s="70" t="s">
        <v>43</v>
      </c>
      <c r="E3" s="100" t="s">
        <v>56</v>
      </c>
      <c r="F3" s="71" t="s">
        <v>44</v>
      </c>
    </row>
    <row r="4" spans="1:6" x14ac:dyDescent="0.25">
      <c r="A4" s="72">
        <v>44957</v>
      </c>
      <c r="B4" s="73">
        <f>WEEKNUM(A4,1)</f>
        <v>5</v>
      </c>
      <c r="C4" s="74" t="s">
        <v>50</v>
      </c>
      <c r="D4" s="75">
        <v>2.0833333333333332E-2</v>
      </c>
      <c r="E4" s="90" t="s">
        <v>45</v>
      </c>
      <c r="F4" s="76"/>
    </row>
    <row r="5" spans="1:6" ht="45" x14ac:dyDescent="0.25">
      <c r="A5" s="72">
        <v>44957</v>
      </c>
      <c r="B5" s="73">
        <f>WEEKNUM(A5,1)</f>
        <v>5</v>
      </c>
      <c r="C5" s="74" t="s">
        <v>50</v>
      </c>
      <c r="D5" s="75">
        <v>7.2916666666666671E-2</v>
      </c>
      <c r="E5" s="90" t="s">
        <v>46</v>
      </c>
      <c r="F5" s="76" t="s">
        <v>47</v>
      </c>
    </row>
    <row r="6" spans="1:6" ht="90" x14ac:dyDescent="0.25">
      <c r="A6" s="72">
        <v>44958</v>
      </c>
      <c r="B6" s="73">
        <f>WEEKNUM(A6,1)</f>
        <v>5</v>
      </c>
      <c r="C6" s="74" t="s">
        <v>50</v>
      </c>
      <c r="D6" s="75">
        <v>2.0833333333333332E-2</v>
      </c>
      <c r="E6" s="90" t="s">
        <v>51</v>
      </c>
      <c r="F6" s="76" t="s">
        <v>52</v>
      </c>
    </row>
    <row r="7" spans="1:6" ht="45" x14ac:dyDescent="0.25">
      <c r="A7" s="72">
        <v>44958</v>
      </c>
      <c r="B7" s="73">
        <f t="shared" ref="B7:B12" si="0">WEEKNUM(A7,1)</f>
        <v>5</v>
      </c>
      <c r="C7" s="74" t="s">
        <v>49</v>
      </c>
      <c r="D7" s="75">
        <v>0.10416666666666667</v>
      </c>
      <c r="E7" s="90" t="s">
        <v>53</v>
      </c>
      <c r="F7" s="76" t="s">
        <v>54</v>
      </c>
    </row>
    <row r="8" spans="1:6" x14ac:dyDescent="0.25">
      <c r="A8" s="72">
        <v>44959</v>
      </c>
      <c r="B8" s="73">
        <f t="shared" si="0"/>
        <v>5</v>
      </c>
      <c r="C8" s="74" t="s">
        <v>73</v>
      </c>
      <c r="D8" s="75">
        <v>0.15625</v>
      </c>
      <c r="E8" s="90" t="s">
        <v>55</v>
      </c>
      <c r="F8" s="76"/>
    </row>
    <row r="9" spans="1:6" ht="45" x14ac:dyDescent="0.25">
      <c r="A9" s="72">
        <v>44963</v>
      </c>
      <c r="B9" s="73">
        <f t="shared" si="0"/>
        <v>6</v>
      </c>
      <c r="C9" s="74" t="s">
        <v>32</v>
      </c>
      <c r="D9" s="75">
        <v>6.25E-2</v>
      </c>
      <c r="E9" s="90" t="s">
        <v>76</v>
      </c>
      <c r="F9" s="76" t="s">
        <v>57</v>
      </c>
    </row>
    <row r="10" spans="1:6" ht="45" x14ac:dyDescent="0.25">
      <c r="A10" s="72">
        <v>44964</v>
      </c>
      <c r="B10" s="73">
        <f t="shared" si="0"/>
        <v>6</v>
      </c>
      <c r="C10" s="74" t="s">
        <v>86</v>
      </c>
      <c r="D10" s="75">
        <v>9.375E-2</v>
      </c>
      <c r="E10" s="90" t="s">
        <v>77</v>
      </c>
      <c r="F10" s="76" t="s">
        <v>57</v>
      </c>
    </row>
    <row r="11" spans="1:6" x14ac:dyDescent="0.25">
      <c r="A11" s="72">
        <v>44965</v>
      </c>
      <c r="B11" s="73">
        <f t="shared" si="0"/>
        <v>6</v>
      </c>
      <c r="C11" s="74" t="s">
        <v>33</v>
      </c>
      <c r="D11" s="75">
        <v>6.25E-2</v>
      </c>
      <c r="E11" s="90" t="s">
        <v>58</v>
      </c>
      <c r="F11" s="76"/>
    </row>
    <row r="12" spans="1:6" x14ac:dyDescent="0.25">
      <c r="A12" s="72">
        <v>44966</v>
      </c>
      <c r="B12" s="73">
        <f t="shared" si="0"/>
        <v>6</v>
      </c>
      <c r="C12" s="74" t="s">
        <v>85</v>
      </c>
      <c r="D12" s="75">
        <v>0.15625</v>
      </c>
      <c r="E12" s="90" t="s">
        <v>59</v>
      </c>
      <c r="F12" s="76"/>
    </row>
    <row r="13" spans="1:6" x14ac:dyDescent="0.25">
      <c r="A13" s="72">
        <v>44978</v>
      </c>
      <c r="B13" s="73">
        <f>WEEKNUM(A13,1)</f>
        <v>8</v>
      </c>
      <c r="C13" s="74" t="s">
        <v>73</v>
      </c>
      <c r="D13" s="75">
        <v>9.375E-2</v>
      </c>
      <c r="E13" s="90" t="s">
        <v>55</v>
      </c>
      <c r="F13" s="76"/>
    </row>
    <row r="14" spans="1:6" ht="45" x14ac:dyDescent="0.25">
      <c r="A14" s="72">
        <v>44979</v>
      </c>
      <c r="B14" s="73">
        <f>WEEKNUM(A14,1)</f>
        <v>8</v>
      </c>
      <c r="C14" s="74" t="s">
        <v>50</v>
      </c>
      <c r="D14" s="75">
        <v>3.125E-2</v>
      </c>
      <c r="E14" s="90" t="s">
        <v>61</v>
      </c>
      <c r="F14" s="76" t="s">
        <v>62</v>
      </c>
    </row>
    <row r="15" spans="1:6" ht="30" x14ac:dyDescent="0.25">
      <c r="A15" s="72">
        <v>44979</v>
      </c>
      <c r="B15" s="73">
        <f>WEEKNUM(A15,1)</f>
        <v>8</v>
      </c>
      <c r="C15" s="74" t="s">
        <v>50</v>
      </c>
      <c r="D15" s="75">
        <v>6.25E-2</v>
      </c>
      <c r="E15" s="90" t="s">
        <v>60</v>
      </c>
      <c r="F15" s="76"/>
    </row>
    <row r="16" spans="1:6" ht="30" x14ac:dyDescent="0.25">
      <c r="A16" s="72">
        <v>44979</v>
      </c>
      <c r="B16" s="73">
        <f>WEEKNUM(A16,1)</f>
        <v>8</v>
      </c>
      <c r="C16" s="74" t="s">
        <v>35</v>
      </c>
      <c r="D16" s="75">
        <v>3.125E-2</v>
      </c>
      <c r="E16" s="90" t="s">
        <v>63</v>
      </c>
      <c r="F16" s="76"/>
    </row>
    <row r="17" spans="1:6" ht="30" x14ac:dyDescent="0.25">
      <c r="A17" s="72">
        <v>44980</v>
      </c>
      <c r="B17" s="73">
        <f>WEEKNUM(A17,1)</f>
        <v>8</v>
      </c>
      <c r="C17" s="74" t="s">
        <v>50</v>
      </c>
      <c r="D17" s="75">
        <v>3.125E-2</v>
      </c>
      <c r="E17" s="90" t="s">
        <v>74</v>
      </c>
      <c r="F17" s="76"/>
    </row>
    <row r="18" spans="1:6" ht="30" x14ac:dyDescent="0.25">
      <c r="A18" s="72">
        <v>44980</v>
      </c>
      <c r="B18" s="73">
        <f t="shared" ref="B18:B82" si="1">WEEKNUM(A18,1)</f>
        <v>8</v>
      </c>
      <c r="C18" s="74" t="s">
        <v>36</v>
      </c>
      <c r="D18" s="75">
        <v>3.125E-2</v>
      </c>
      <c r="E18" s="90" t="s">
        <v>75</v>
      </c>
      <c r="F18" s="76"/>
    </row>
    <row r="19" spans="1:6" ht="30" x14ac:dyDescent="0.25">
      <c r="A19" s="72">
        <v>44980</v>
      </c>
      <c r="B19" s="73">
        <f t="shared" si="1"/>
        <v>8</v>
      </c>
      <c r="C19" s="74" t="s">
        <v>37</v>
      </c>
      <c r="D19" s="75">
        <v>6.25E-2</v>
      </c>
      <c r="E19" s="90" t="s">
        <v>78</v>
      </c>
      <c r="F19" s="76"/>
    </row>
    <row r="20" spans="1:6" x14ac:dyDescent="0.25">
      <c r="A20" s="72">
        <v>44980</v>
      </c>
      <c r="B20" s="73">
        <f t="shared" si="1"/>
        <v>8</v>
      </c>
      <c r="C20" s="74" t="s">
        <v>49</v>
      </c>
      <c r="D20" s="75">
        <v>3.125E-2</v>
      </c>
      <c r="E20" s="90" t="s">
        <v>79</v>
      </c>
      <c r="F20" s="76"/>
    </row>
    <row r="21" spans="1:6" x14ac:dyDescent="0.25">
      <c r="A21" s="72">
        <v>44985</v>
      </c>
      <c r="B21" s="73">
        <f t="shared" si="1"/>
        <v>9</v>
      </c>
      <c r="C21" s="74" t="s">
        <v>49</v>
      </c>
      <c r="D21" s="75">
        <v>3.125E-2</v>
      </c>
      <c r="E21" s="90" t="s">
        <v>80</v>
      </c>
      <c r="F21" s="76"/>
    </row>
    <row r="22" spans="1:6" ht="30" x14ac:dyDescent="0.25">
      <c r="A22" s="72">
        <v>44985</v>
      </c>
      <c r="B22" s="73">
        <f t="shared" si="1"/>
        <v>9</v>
      </c>
      <c r="C22" s="74" t="s">
        <v>34</v>
      </c>
      <c r="D22" s="75">
        <v>6.25E-2</v>
      </c>
      <c r="E22" s="90" t="s">
        <v>94</v>
      </c>
      <c r="F22" s="76"/>
    </row>
    <row r="23" spans="1:6" ht="30" x14ac:dyDescent="0.25">
      <c r="A23" s="72">
        <v>44986</v>
      </c>
      <c r="B23" s="73">
        <f>WEEKNUM(A23,1)</f>
        <v>9</v>
      </c>
      <c r="C23" s="74" t="s">
        <v>86</v>
      </c>
      <c r="D23" s="75">
        <v>6.25E-2</v>
      </c>
      <c r="E23" s="90" t="s">
        <v>91</v>
      </c>
      <c r="F23" s="76" t="s">
        <v>92</v>
      </c>
    </row>
    <row r="24" spans="1:6" x14ac:dyDescent="0.25">
      <c r="A24" s="72">
        <v>44986</v>
      </c>
      <c r="B24" s="73">
        <f>WEEKNUM(A24,1)</f>
        <v>9</v>
      </c>
      <c r="C24" s="74" t="s">
        <v>49</v>
      </c>
      <c r="D24" s="75">
        <v>6.25E-2</v>
      </c>
      <c r="E24" s="90" t="s">
        <v>97</v>
      </c>
      <c r="F24" s="76"/>
    </row>
    <row r="25" spans="1:6" x14ac:dyDescent="0.25">
      <c r="A25" s="72">
        <v>44987</v>
      </c>
      <c r="B25" s="73">
        <f>WEEKNUM(A25,1)</f>
        <v>9</v>
      </c>
      <c r="C25" s="74" t="s">
        <v>49</v>
      </c>
      <c r="D25" s="75">
        <v>3.125E-2</v>
      </c>
      <c r="E25" s="90" t="s">
        <v>93</v>
      </c>
      <c r="F25" s="76"/>
    </row>
    <row r="26" spans="1:6" x14ac:dyDescent="0.25">
      <c r="A26" s="72">
        <v>44987</v>
      </c>
      <c r="B26" s="73">
        <f>WEEKNUM(A26,1)</f>
        <v>9</v>
      </c>
      <c r="C26" s="74" t="s">
        <v>34</v>
      </c>
      <c r="D26" s="75">
        <v>3.125E-2</v>
      </c>
      <c r="E26" s="90" t="s">
        <v>90</v>
      </c>
      <c r="F26" s="76"/>
    </row>
    <row r="27" spans="1:6" x14ac:dyDescent="0.25">
      <c r="A27" s="72">
        <v>44987</v>
      </c>
      <c r="B27" s="73">
        <f>WEEKNUM(A27,1)</f>
        <v>9</v>
      </c>
      <c r="C27" s="74" t="s">
        <v>84</v>
      </c>
      <c r="D27" s="75">
        <v>6.25E-2</v>
      </c>
      <c r="E27" s="90" t="s">
        <v>95</v>
      </c>
      <c r="F27" s="76"/>
    </row>
    <row r="28" spans="1:6" x14ac:dyDescent="0.25">
      <c r="A28" s="72">
        <v>44987</v>
      </c>
      <c r="B28" s="73">
        <f t="shared" si="1"/>
        <v>9</v>
      </c>
      <c r="C28" s="74" t="s">
        <v>50</v>
      </c>
      <c r="D28" s="75">
        <v>3.125E-2</v>
      </c>
      <c r="E28" s="90" t="s">
        <v>96</v>
      </c>
      <c r="F28" s="76"/>
    </row>
    <row r="29" spans="1:6" ht="30" x14ac:dyDescent="0.25">
      <c r="A29" s="72">
        <v>44992</v>
      </c>
      <c r="B29" s="73">
        <f t="shared" si="1"/>
        <v>10</v>
      </c>
      <c r="C29" s="74" t="s">
        <v>73</v>
      </c>
      <c r="D29" s="75">
        <v>4.1666666666666664E-2</v>
      </c>
      <c r="E29" s="90" t="s">
        <v>98</v>
      </c>
      <c r="F29" s="76"/>
    </row>
    <row r="30" spans="1:6" x14ac:dyDescent="0.25">
      <c r="A30" s="72">
        <v>44992</v>
      </c>
      <c r="B30" s="73">
        <f t="shared" si="1"/>
        <v>10</v>
      </c>
      <c r="C30" s="74"/>
      <c r="D30" s="75"/>
      <c r="E30" s="90"/>
      <c r="F30" s="76"/>
    </row>
    <row r="31" spans="1:6" ht="16.5" customHeight="1" x14ac:dyDescent="0.25">
      <c r="A31" s="72"/>
      <c r="B31" s="73">
        <f t="shared" si="1"/>
        <v>0</v>
      </c>
      <c r="C31" s="74"/>
      <c r="D31" s="75"/>
      <c r="E31" s="90"/>
      <c r="F31" s="76"/>
    </row>
    <row r="32" spans="1:6" x14ac:dyDescent="0.25">
      <c r="A32" s="72"/>
      <c r="B32" s="73">
        <f t="shared" si="1"/>
        <v>0</v>
      </c>
      <c r="C32" s="74"/>
      <c r="D32" s="75"/>
      <c r="E32" s="90"/>
      <c r="F32" s="76"/>
    </row>
    <row r="33" spans="1:6" x14ac:dyDescent="0.25">
      <c r="A33" s="72"/>
      <c r="B33" s="73">
        <f t="shared" si="1"/>
        <v>0</v>
      </c>
      <c r="C33" s="74"/>
      <c r="D33" s="75"/>
      <c r="E33" s="90"/>
      <c r="F33" s="76"/>
    </row>
    <row r="34" spans="1:6" x14ac:dyDescent="0.25">
      <c r="A34" s="72"/>
      <c r="B34" s="73">
        <f t="shared" si="1"/>
        <v>0</v>
      </c>
      <c r="C34" s="74"/>
      <c r="D34" s="75"/>
      <c r="E34" s="90"/>
      <c r="F34" s="76"/>
    </row>
    <row r="35" spans="1:6" x14ac:dyDescent="0.25">
      <c r="A35" s="72"/>
      <c r="B35" s="73">
        <f t="shared" si="1"/>
        <v>0</v>
      </c>
      <c r="C35" s="74"/>
      <c r="D35" s="75"/>
      <c r="E35" s="90"/>
      <c r="F35" s="76"/>
    </row>
    <row r="36" spans="1:6" x14ac:dyDescent="0.25">
      <c r="A36" s="72"/>
      <c r="B36" s="73">
        <f t="shared" si="1"/>
        <v>0</v>
      </c>
      <c r="C36" s="74"/>
      <c r="D36" s="75"/>
      <c r="E36" s="90"/>
      <c r="F36" s="76"/>
    </row>
    <row r="37" spans="1:6" x14ac:dyDescent="0.25">
      <c r="A37" s="72"/>
      <c r="B37" s="73">
        <f t="shared" si="1"/>
        <v>0</v>
      </c>
      <c r="C37" s="74"/>
      <c r="D37" s="75"/>
      <c r="E37" s="90"/>
      <c r="F37" s="76"/>
    </row>
    <row r="38" spans="1:6" x14ac:dyDescent="0.25">
      <c r="A38" s="72"/>
      <c r="B38" s="73">
        <f t="shared" si="1"/>
        <v>0</v>
      </c>
      <c r="C38" s="74"/>
      <c r="D38" s="75"/>
      <c r="E38" s="90"/>
      <c r="F38" s="76"/>
    </row>
    <row r="39" spans="1:6" x14ac:dyDescent="0.25">
      <c r="A39" s="72"/>
      <c r="B39" s="73">
        <f t="shared" si="1"/>
        <v>0</v>
      </c>
      <c r="C39" s="74"/>
      <c r="D39" s="75"/>
      <c r="E39" s="90"/>
      <c r="F39" s="76"/>
    </row>
    <row r="40" spans="1:6" x14ac:dyDescent="0.25">
      <c r="A40" s="72"/>
      <c r="B40" s="73">
        <f t="shared" si="1"/>
        <v>0</v>
      </c>
      <c r="C40" s="74"/>
      <c r="D40" s="75"/>
      <c r="E40" s="90"/>
      <c r="F40" s="76"/>
    </row>
    <row r="41" spans="1:6" x14ac:dyDescent="0.25">
      <c r="A41" s="72"/>
      <c r="B41" s="73">
        <f t="shared" si="1"/>
        <v>0</v>
      </c>
      <c r="C41" s="74"/>
      <c r="D41" s="75"/>
      <c r="E41" s="90"/>
      <c r="F41" s="76"/>
    </row>
    <row r="42" spans="1:6" x14ac:dyDescent="0.25">
      <c r="A42" s="77"/>
      <c r="B42" s="78">
        <f t="shared" si="1"/>
        <v>0</v>
      </c>
      <c r="C42" s="79"/>
      <c r="D42" s="80"/>
      <c r="E42" s="101"/>
      <c r="F42" s="81"/>
    </row>
    <row r="43" spans="1:6" x14ac:dyDescent="0.25">
      <c r="A43" s="77"/>
      <c r="B43" s="78">
        <f t="shared" si="1"/>
        <v>0</v>
      </c>
      <c r="C43" s="79"/>
      <c r="D43" s="80"/>
      <c r="E43" s="101"/>
      <c r="F43" s="81"/>
    </row>
    <row r="44" spans="1:6" x14ac:dyDescent="0.25">
      <c r="A44" s="77"/>
      <c r="B44" s="78">
        <f t="shared" si="1"/>
        <v>0</v>
      </c>
      <c r="C44" s="79"/>
      <c r="D44" s="80"/>
      <c r="E44" s="101"/>
      <c r="F44" s="81"/>
    </row>
    <row r="45" spans="1:6" x14ac:dyDescent="0.25">
      <c r="A45" s="77"/>
      <c r="B45" s="78">
        <f t="shared" si="1"/>
        <v>0</v>
      </c>
      <c r="C45" s="79"/>
      <c r="D45" s="80"/>
      <c r="E45" s="101"/>
      <c r="F45" s="81"/>
    </row>
    <row r="46" spans="1:6" x14ac:dyDescent="0.25">
      <c r="A46" s="77"/>
      <c r="B46" s="78">
        <f t="shared" si="1"/>
        <v>0</v>
      </c>
      <c r="C46" s="79"/>
      <c r="D46" s="80"/>
      <c r="E46" s="101"/>
      <c r="F46" s="81"/>
    </row>
    <row r="47" spans="1:6" x14ac:dyDescent="0.25">
      <c r="A47" s="77"/>
      <c r="B47" s="78">
        <f t="shared" si="1"/>
        <v>0</v>
      </c>
      <c r="C47" s="79"/>
      <c r="D47" s="80"/>
      <c r="E47" s="101"/>
      <c r="F47" s="81"/>
    </row>
    <row r="48" spans="1:6" x14ac:dyDescent="0.25">
      <c r="A48" s="77"/>
      <c r="B48" s="78">
        <f t="shared" si="1"/>
        <v>0</v>
      </c>
      <c r="C48" s="79"/>
      <c r="D48" s="80"/>
      <c r="E48" s="101"/>
      <c r="F48" s="81"/>
    </row>
    <row r="49" spans="1:6" x14ac:dyDescent="0.25">
      <c r="A49" s="77"/>
      <c r="B49" s="78">
        <f t="shared" si="1"/>
        <v>0</v>
      </c>
      <c r="C49" s="79"/>
      <c r="D49" s="80"/>
      <c r="E49" s="101"/>
      <c r="F49" s="81"/>
    </row>
    <row r="50" spans="1:6" x14ac:dyDescent="0.25">
      <c r="A50" s="77"/>
      <c r="B50" s="78">
        <f t="shared" si="1"/>
        <v>0</v>
      </c>
      <c r="C50" s="79"/>
      <c r="D50" s="80"/>
      <c r="E50" s="101"/>
      <c r="F50" s="81"/>
    </row>
    <row r="51" spans="1:6" x14ac:dyDescent="0.25">
      <c r="A51" s="77"/>
      <c r="B51" s="78">
        <f t="shared" si="1"/>
        <v>0</v>
      </c>
      <c r="C51" s="79"/>
      <c r="D51" s="80"/>
      <c r="E51" s="101"/>
      <c r="F51" s="81"/>
    </row>
    <row r="52" spans="1:6" x14ac:dyDescent="0.25">
      <c r="A52" s="77"/>
      <c r="B52" s="78">
        <f t="shared" si="1"/>
        <v>0</v>
      </c>
      <c r="C52" s="79"/>
      <c r="D52" s="80"/>
      <c r="E52" s="101"/>
      <c r="F52" s="81"/>
    </row>
    <row r="53" spans="1:6" x14ac:dyDescent="0.25">
      <c r="A53" s="77"/>
      <c r="B53" s="78">
        <f t="shared" si="1"/>
        <v>0</v>
      </c>
      <c r="C53" s="79"/>
      <c r="D53" s="80"/>
      <c r="E53" s="101"/>
      <c r="F53" s="81"/>
    </row>
    <row r="54" spans="1:6" x14ac:dyDescent="0.25">
      <c r="A54" s="77"/>
      <c r="B54" s="78">
        <f t="shared" si="1"/>
        <v>0</v>
      </c>
      <c r="C54" s="79"/>
      <c r="D54" s="80"/>
      <c r="E54" s="101"/>
      <c r="F54" s="81"/>
    </row>
    <row r="55" spans="1:6" x14ac:dyDescent="0.25">
      <c r="A55" s="77"/>
      <c r="B55" s="78">
        <f t="shared" si="1"/>
        <v>0</v>
      </c>
      <c r="C55" s="79"/>
      <c r="D55" s="80"/>
      <c r="E55" s="101"/>
      <c r="F55" s="81"/>
    </row>
    <row r="56" spans="1:6" x14ac:dyDescent="0.25">
      <c r="A56" s="77"/>
      <c r="B56" s="78">
        <f t="shared" si="1"/>
        <v>0</v>
      </c>
      <c r="C56" s="79"/>
      <c r="D56" s="80"/>
      <c r="E56" s="101"/>
      <c r="F56" s="81"/>
    </row>
    <row r="57" spans="1:6" x14ac:dyDescent="0.25">
      <c r="A57" s="77"/>
      <c r="B57" s="78">
        <f t="shared" si="1"/>
        <v>0</v>
      </c>
      <c r="C57" s="79"/>
      <c r="D57" s="80"/>
      <c r="E57" s="101"/>
      <c r="F57" s="81"/>
    </row>
    <row r="58" spans="1:6" x14ac:dyDescent="0.25">
      <c r="A58" s="77"/>
      <c r="B58" s="78">
        <f t="shared" si="1"/>
        <v>0</v>
      </c>
      <c r="C58" s="79"/>
      <c r="D58" s="80"/>
      <c r="E58" s="101"/>
      <c r="F58" s="81"/>
    </row>
    <row r="59" spans="1:6" x14ac:dyDescent="0.25">
      <c r="A59" s="77"/>
      <c r="B59" s="78">
        <f t="shared" si="1"/>
        <v>0</v>
      </c>
      <c r="C59" s="79"/>
      <c r="D59" s="80"/>
      <c r="E59" s="101"/>
      <c r="F59" s="81"/>
    </row>
    <row r="60" spans="1:6" x14ac:dyDescent="0.25">
      <c r="A60" s="77"/>
      <c r="B60" s="78">
        <f t="shared" si="1"/>
        <v>0</v>
      </c>
      <c r="C60" s="79"/>
      <c r="D60" s="80"/>
      <c r="E60" s="101"/>
      <c r="F60" s="81"/>
    </row>
    <row r="61" spans="1:6" x14ac:dyDescent="0.25">
      <c r="A61" s="77"/>
      <c r="B61" s="78">
        <f t="shared" si="1"/>
        <v>0</v>
      </c>
      <c r="C61" s="79"/>
      <c r="D61" s="80"/>
      <c r="E61" s="101"/>
      <c r="F61" s="81"/>
    </row>
    <row r="62" spans="1:6" x14ac:dyDescent="0.25">
      <c r="A62" s="77"/>
      <c r="B62" s="78">
        <f t="shared" si="1"/>
        <v>0</v>
      </c>
      <c r="C62" s="79"/>
      <c r="D62" s="80"/>
      <c r="E62" s="101"/>
      <c r="F62" s="81"/>
    </row>
    <row r="63" spans="1:6" x14ac:dyDescent="0.25">
      <c r="A63" s="77"/>
      <c r="B63" s="78">
        <f t="shared" si="1"/>
        <v>0</v>
      </c>
      <c r="C63" s="79"/>
      <c r="D63" s="80"/>
      <c r="E63" s="101"/>
      <c r="F63" s="81"/>
    </row>
    <row r="64" spans="1:6" x14ac:dyDescent="0.25">
      <c r="A64" s="77"/>
      <c r="B64" s="78">
        <f t="shared" si="1"/>
        <v>0</v>
      </c>
      <c r="C64" s="79"/>
      <c r="D64" s="80"/>
      <c r="E64" s="101"/>
      <c r="F64" s="81"/>
    </row>
    <row r="65" spans="1:6" x14ac:dyDescent="0.25">
      <c r="A65" s="77"/>
      <c r="B65" s="78">
        <f t="shared" si="1"/>
        <v>0</v>
      </c>
      <c r="C65" s="79"/>
      <c r="D65" s="80"/>
      <c r="E65" s="101"/>
      <c r="F65" s="81"/>
    </row>
    <row r="66" spans="1:6" x14ac:dyDescent="0.25">
      <c r="A66" s="77"/>
      <c r="B66" s="78">
        <f t="shared" si="1"/>
        <v>0</v>
      </c>
      <c r="C66" s="79"/>
      <c r="D66" s="80"/>
      <c r="E66" s="101"/>
      <c r="F66" s="81"/>
    </row>
    <row r="67" spans="1:6" x14ac:dyDescent="0.25">
      <c r="A67" s="77"/>
      <c r="B67" s="78">
        <f t="shared" si="1"/>
        <v>0</v>
      </c>
      <c r="C67" s="79"/>
      <c r="D67" s="80"/>
      <c r="E67" s="101"/>
      <c r="F67" s="81"/>
    </row>
    <row r="68" spans="1:6" x14ac:dyDescent="0.25">
      <c r="A68" s="77"/>
      <c r="B68" s="78">
        <f t="shared" si="1"/>
        <v>0</v>
      </c>
      <c r="C68" s="79"/>
      <c r="D68" s="80"/>
      <c r="E68" s="101"/>
      <c r="F68" s="81"/>
    </row>
    <row r="69" spans="1:6" x14ac:dyDescent="0.25">
      <c r="A69" s="77"/>
      <c r="B69" s="78">
        <f t="shared" si="1"/>
        <v>0</v>
      </c>
      <c r="C69" s="79"/>
      <c r="D69" s="80"/>
      <c r="E69" s="101"/>
      <c r="F69" s="81"/>
    </row>
    <row r="70" spans="1:6" x14ac:dyDescent="0.25">
      <c r="A70" s="77"/>
      <c r="B70" s="78">
        <f t="shared" si="1"/>
        <v>0</v>
      </c>
      <c r="C70" s="79"/>
      <c r="D70" s="80"/>
      <c r="E70" s="101"/>
      <c r="F70" s="81"/>
    </row>
    <row r="71" spans="1:6" x14ac:dyDescent="0.25">
      <c r="A71" s="77"/>
      <c r="B71" s="78">
        <f t="shared" si="1"/>
        <v>0</v>
      </c>
      <c r="C71" s="79"/>
      <c r="D71" s="80"/>
      <c r="E71" s="101"/>
      <c r="F71" s="81"/>
    </row>
    <row r="72" spans="1:6" x14ac:dyDescent="0.25">
      <c r="A72" s="77"/>
      <c r="B72" s="78">
        <f t="shared" si="1"/>
        <v>0</v>
      </c>
      <c r="C72" s="79"/>
      <c r="D72" s="80"/>
      <c r="E72" s="101"/>
      <c r="F72" s="81"/>
    </row>
    <row r="73" spans="1:6" x14ac:dyDescent="0.25">
      <c r="A73" s="77"/>
      <c r="B73" s="78">
        <f t="shared" si="1"/>
        <v>0</v>
      </c>
      <c r="C73" s="79"/>
      <c r="D73" s="80"/>
      <c r="E73" s="101"/>
      <c r="F73" s="81"/>
    </row>
    <row r="74" spans="1:6" x14ac:dyDescent="0.25">
      <c r="A74" s="77"/>
      <c r="B74" s="78">
        <f t="shared" si="1"/>
        <v>0</v>
      </c>
      <c r="C74" s="79"/>
      <c r="D74" s="80"/>
      <c r="E74" s="101"/>
      <c r="F74" s="81"/>
    </row>
    <row r="75" spans="1:6" x14ac:dyDescent="0.25">
      <c r="A75" s="77"/>
      <c r="B75" s="78">
        <f t="shared" si="1"/>
        <v>0</v>
      </c>
      <c r="C75" s="79"/>
      <c r="D75" s="80"/>
      <c r="E75" s="101"/>
      <c r="F75" s="81"/>
    </row>
    <row r="76" spans="1:6" x14ac:dyDescent="0.25">
      <c r="A76" s="77"/>
      <c r="B76" s="78">
        <f t="shared" si="1"/>
        <v>0</v>
      </c>
      <c r="C76" s="79"/>
      <c r="D76" s="80"/>
      <c r="E76" s="101"/>
      <c r="F76" s="81"/>
    </row>
    <row r="77" spans="1:6" x14ac:dyDescent="0.25">
      <c r="A77" s="77"/>
      <c r="B77" s="78">
        <f t="shared" si="1"/>
        <v>0</v>
      </c>
      <c r="C77" s="79"/>
      <c r="D77" s="80"/>
      <c r="E77" s="101"/>
      <c r="F77" s="81"/>
    </row>
    <row r="78" spans="1:6" x14ac:dyDescent="0.25">
      <c r="A78" s="77"/>
      <c r="B78" s="78">
        <f t="shared" si="1"/>
        <v>0</v>
      </c>
      <c r="C78" s="79"/>
      <c r="D78" s="80"/>
      <c r="E78" s="101"/>
      <c r="F78" s="81"/>
    </row>
    <row r="79" spans="1:6" x14ac:dyDescent="0.25">
      <c r="A79" s="77"/>
      <c r="B79" s="78">
        <f t="shared" si="1"/>
        <v>0</v>
      </c>
      <c r="C79" s="79"/>
      <c r="D79" s="80"/>
      <c r="E79" s="101"/>
      <c r="F79" s="81"/>
    </row>
    <row r="80" spans="1:6" x14ac:dyDescent="0.25">
      <c r="A80" s="77"/>
      <c r="B80" s="78">
        <f t="shared" si="1"/>
        <v>0</v>
      </c>
      <c r="C80" s="79"/>
      <c r="D80" s="80"/>
      <c r="E80" s="101"/>
      <c r="F80" s="81"/>
    </row>
    <row r="81" spans="1:6" x14ac:dyDescent="0.25">
      <c r="A81" s="77"/>
      <c r="B81" s="78">
        <f t="shared" si="1"/>
        <v>0</v>
      </c>
      <c r="C81" s="79"/>
      <c r="D81" s="80"/>
      <c r="E81" s="101"/>
      <c r="F81" s="81"/>
    </row>
    <row r="82" spans="1:6" x14ac:dyDescent="0.25">
      <c r="A82" s="77"/>
      <c r="B82" s="78">
        <f t="shared" si="1"/>
        <v>0</v>
      </c>
      <c r="C82" s="79"/>
      <c r="D82" s="80"/>
      <c r="E82" s="101"/>
      <c r="F82" s="81"/>
    </row>
    <row r="83" spans="1:6" x14ac:dyDescent="0.25">
      <c r="A83" s="77"/>
      <c r="B83" s="78">
        <f t="shared" ref="B83:B146" si="2">WEEKNUM(A83,1)</f>
        <v>0</v>
      </c>
      <c r="C83" s="79"/>
      <c r="D83" s="80"/>
      <c r="E83" s="101"/>
      <c r="F83" s="81"/>
    </row>
    <row r="84" spans="1:6" x14ac:dyDescent="0.25">
      <c r="A84" s="77"/>
      <c r="B84" s="78">
        <f t="shared" si="2"/>
        <v>0</v>
      </c>
      <c r="C84" s="79"/>
      <c r="D84" s="80"/>
      <c r="E84" s="101"/>
      <c r="F84" s="81"/>
    </row>
    <row r="85" spans="1:6" x14ac:dyDescent="0.25">
      <c r="A85" s="77"/>
      <c r="B85" s="78">
        <f t="shared" si="2"/>
        <v>0</v>
      </c>
      <c r="C85" s="79"/>
      <c r="D85" s="80"/>
      <c r="E85" s="101"/>
      <c r="F85" s="81"/>
    </row>
    <row r="86" spans="1:6" x14ac:dyDescent="0.25">
      <c r="A86" s="77"/>
      <c r="B86" s="78">
        <f t="shared" si="2"/>
        <v>0</v>
      </c>
      <c r="C86" s="79"/>
      <c r="D86" s="80"/>
      <c r="E86" s="101"/>
      <c r="F86" s="81"/>
    </row>
    <row r="87" spans="1:6" x14ac:dyDescent="0.25">
      <c r="A87" s="77"/>
      <c r="B87" s="78">
        <f t="shared" si="2"/>
        <v>0</v>
      </c>
      <c r="C87" s="79"/>
      <c r="D87" s="80"/>
      <c r="E87" s="101"/>
      <c r="F87" s="81"/>
    </row>
    <row r="88" spans="1:6" x14ac:dyDescent="0.25">
      <c r="A88" s="77"/>
      <c r="B88" s="78">
        <f t="shared" si="2"/>
        <v>0</v>
      </c>
      <c r="C88" s="79"/>
      <c r="D88" s="80"/>
      <c r="E88" s="101"/>
      <c r="F88" s="81"/>
    </row>
    <row r="89" spans="1:6" x14ac:dyDescent="0.25">
      <c r="A89" s="77"/>
      <c r="B89" s="78">
        <f t="shared" si="2"/>
        <v>0</v>
      </c>
      <c r="C89" s="79"/>
      <c r="D89" s="80"/>
      <c r="E89" s="101"/>
      <c r="F89" s="81"/>
    </row>
    <row r="90" spans="1:6" x14ac:dyDescent="0.25">
      <c r="A90" s="77"/>
      <c r="B90" s="78">
        <f t="shared" si="2"/>
        <v>0</v>
      </c>
      <c r="C90" s="79"/>
      <c r="D90" s="80"/>
      <c r="E90" s="101"/>
      <c r="F90" s="81"/>
    </row>
    <row r="91" spans="1:6" x14ac:dyDescent="0.25">
      <c r="A91" s="77"/>
      <c r="B91" s="78">
        <f t="shared" si="2"/>
        <v>0</v>
      </c>
      <c r="C91" s="79"/>
      <c r="D91" s="80"/>
      <c r="E91" s="101"/>
      <c r="F91" s="81"/>
    </row>
    <row r="92" spans="1:6" x14ac:dyDescent="0.25">
      <c r="A92" s="77"/>
      <c r="B92" s="78">
        <f t="shared" si="2"/>
        <v>0</v>
      </c>
      <c r="C92" s="79"/>
      <c r="D92" s="80"/>
      <c r="E92" s="101"/>
      <c r="F92" s="81"/>
    </row>
    <row r="93" spans="1:6" x14ac:dyDescent="0.25">
      <c r="A93" s="77"/>
      <c r="B93" s="78">
        <f t="shared" si="2"/>
        <v>0</v>
      </c>
      <c r="C93" s="79"/>
      <c r="D93" s="80"/>
      <c r="E93" s="101"/>
      <c r="F93" s="81"/>
    </row>
    <row r="94" spans="1:6" x14ac:dyDescent="0.25">
      <c r="A94" s="77"/>
      <c r="B94" s="78">
        <f t="shared" si="2"/>
        <v>0</v>
      </c>
      <c r="C94" s="79"/>
      <c r="D94" s="80"/>
      <c r="E94" s="101"/>
      <c r="F94" s="81"/>
    </row>
    <row r="95" spans="1:6" x14ac:dyDescent="0.25">
      <c r="A95" s="77"/>
      <c r="B95" s="78">
        <f t="shared" si="2"/>
        <v>0</v>
      </c>
      <c r="C95" s="79"/>
      <c r="D95" s="80"/>
      <c r="E95" s="101"/>
      <c r="F95" s="81"/>
    </row>
    <row r="96" spans="1:6" x14ac:dyDescent="0.25">
      <c r="A96" s="77"/>
      <c r="B96" s="78">
        <f t="shared" si="2"/>
        <v>0</v>
      </c>
      <c r="C96" s="79"/>
      <c r="D96" s="80"/>
      <c r="E96" s="101"/>
      <c r="F96" s="81"/>
    </row>
    <row r="97" spans="1:6" x14ac:dyDescent="0.25">
      <c r="A97" s="77"/>
      <c r="B97" s="78">
        <f t="shared" si="2"/>
        <v>0</v>
      </c>
      <c r="C97" s="79"/>
      <c r="D97" s="80"/>
      <c r="E97" s="101"/>
      <c r="F97" s="81"/>
    </row>
    <row r="98" spans="1:6" x14ac:dyDescent="0.25">
      <c r="A98" s="77"/>
      <c r="B98" s="78">
        <f t="shared" si="2"/>
        <v>0</v>
      </c>
      <c r="C98" s="79"/>
      <c r="D98" s="80"/>
      <c r="E98" s="101"/>
      <c r="F98" s="81"/>
    </row>
    <row r="99" spans="1:6" x14ac:dyDescent="0.25">
      <c r="A99" s="77"/>
      <c r="B99" s="78">
        <f t="shared" si="2"/>
        <v>0</v>
      </c>
      <c r="C99" s="79"/>
      <c r="D99" s="80"/>
      <c r="E99" s="101"/>
      <c r="F99" s="81"/>
    </row>
    <row r="100" spans="1:6" x14ac:dyDescent="0.25">
      <c r="A100" s="77"/>
      <c r="B100" s="78">
        <f t="shared" si="2"/>
        <v>0</v>
      </c>
      <c r="C100" s="79"/>
      <c r="D100" s="80"/>
      <c r="E100" s="101"/>
      <c r="F100" s="81"/>
    </row>
    <row r="101" spans="1:6" x14ac:dyDescent="0.25">
      <c r="A101" s="77"/>
      <c r="B101" s="78">
        <f t="shared" si="2"/>
        <v>0</v>
      </c>
      <c r="C101" s="79"/>
      <c r="D101" s="80"/>
      <c r="E101" s="101"/>
      <c r="F101" s="81"/>
    </row>
    <row r="102" spans="1:6" x14ac:dyDescent="0.25">
      <c r="A102" s="77"/>
      <c r="B102" s="78">
        <f t="shared" si="2"/>
        <v>0</v>
      </c>
      <c r="C102" s="79"/>
      <c r="D102" s="80"/>
      <c r="E102" s="101"/>
      <c r="F102" s="81"/>
    </row>
    <row r="103" spans="1:6" x14ac:dyDescent="0.25">
      <c r="A103" s="77"/>
      <c r="B103" s="78">
        <f t="shared" si="2"/>
        <v>0</v>
      </c>
      <c r="C103" s="79"/>
      <c r="D103" s="80"/>
      <c r="E103" s="101"/>
      <c r="F103" s="81"/>
    </row>
    <row r="104" spans="1:6" x14ac:dyDescent="0.25">
      <c r="A104" s="77"/>
      <c r="B104" s="78">
        <f t="shared" si="2"/>
        <v>0</v>
      </c>
      <c r="C104" s="79"/>
      <c r="D104" s="80"/>
      <c r="E104" s="101"/>
      <c r="F104" s="81"/>
    </row>
    <row r="105" spans="1:6" x14ac:dyDescent="0.25">
      <c r="A105" s="77"/>
      <c r="B105" s="78">
        <f t="shared" si="2"/>
        <v>0</v>
      </c>
      <c r="C105" s="79"/>
      <c r="D105" s="80"/>
      <c r="E105" s="101"/>
      <c r="F105" s="81"/>
    </row>
    <row r="106" spans="1:6" x14ac:dyDescent="0.25">
      <c r="A106" s="77"/>
      <c r="B106" s="78">
        <f t="shared" si="2"/>
        <v>0</v>
      </c>
      <c r="C106" s="79"/>
      <c r="D106" s="80"/>
      <c r="E106" s="101"/>
      <c r="F106" s="81"/>
    </row>
    <row r="107" spans="1:6" x14ac:dyDescent="0.25">
      <c r="A107" s="77"/>
      <c r="B107" s="78">
        <f t="shared" si="2"/>
        <v>0</v>
      </c>
      <c r="C107" s="79"/>
      <c r="D107" s="80"/>
      <c r="E107" s="101"/>
      <c r="F107" s="81"/>
    </row>
    <row r="108" spans="1:6" x14ac:dyDescent="0.25">
      <c r="A108" s="77"/>
      <c r="B108" s="78">
        <f t="shared" si="2"/>
        <v>0</v>
      </c>
      <c r="C108" s="79"/>
      <c r="D108" s="80"/>
      <c r="E108" s="101"/>
      <c r="F108" s="81"/>
    </row>
    <row r="109" spans="1:6" x14ac:dyDescent="0.25">
      <c r="A109" s="77"/>
      <c r="B109" s="78">
        <f t="shared" si="2"/>
        <v>0</v>
      </c>
      <c r="C109" s="79"/>
      <c r="D109" s="80"/>
      <c r="E109" s="101"/>
      <c r="F109" s="81"/>
    </row>
    <row r="110" spans="1:6" x14ac:dyDescent="0.25">
      <c r="A110" s="77"/>
      <c r="B110" s="78">
        <f t="shared" si="2"/>
        <v>0</v>
      </c>
      <c r="C110" s="79"/>
      <c r="D110" s="80"/>
      <c r="E110" s="101"/>
      <c r="F110" s="81"/>
    </row>
    <row r="111" spans="1:6" x14ac:dyDescent="0.25">
      <c r="A111" s="77"/>
      <c r="B111" s="78">
        <f t="shared" si="2"/>
        <v>0</v>
      </c>
      <c r="C111" s="79"/>
      <c r="D111" s="80"/>
      <c r="E111" s="101"/>
      <c r="F111" s="81"/>
    </row>
    <row r="112" spans="1:6" x14ac:dyDescent="0.25">
      <c r="A112" s="77"/>
      <c r="B112" s="78">
        <f t="shared" si="2"/>
        <v>0</v>
      </c>
      <c r="C112" s="79"/>
      <c r="D112" s="80"/>
      <c r="E112" s="101"/>
      <c r="F112" s="81"/>
    </row>
    <row r="113" spans="1:6" x14ac:dyDescent="0.25">
      <c r="A113" s="77"/>
      <c r="B113" s="78">
        <f t="shared" si="2"/>
        <v>0</v>
      </c>
      <c r="C113" s="79"/>
      <c r="D113" s="80"/>
      <c r="E113" s="101"/>
      <c r="F113" s="81"/>
    </row>
    <row r="114" spans="1:6" x14ac:dyDescent="0.25">
      <c r="A114" s="77"/>
      <c r="B114" s="78">
        <f t="shared" si="2"/>
        <v>0</v>
      </c>
      <c r="C114" s="79"/>
      <c r="D114" s="80"/>
      <c r="E114" s="101"/>
      <c r="F114" s="81"/>
    </row>
    <row r="115" spans="1:6" x14ac:dyDescent="0.25">
      <c r="A115" s="77"/>
      <c r="B115" s="78">
        <f t="shared" si="2"/>
        <v>0</v>
      </c>
      <c r="C115" s="79"/>
      <c r="D115" s="80"/>
      <c r="E115" s="101"/>
      <c r="F115" s="81"/>
    </row>
    <row r="116" spans="1:6" x14ac:dyDescent="0.25">
      <c r="A116" s="77"/>
      <c r="B116" s="78">
        <f t="shared" si="2"/>
        <v>0</v>
      </c>
      <c r="C116" s="79"/>
      <c r="D116" s="80"/>
      <c r="E116" s="101"/>
      <c r="F116" s="81"/>
    </row>
    <row r="117" spans="1:6" x14ac:dyDescent="0.25">
      <c r="A117" s="77"/>
      <c r="B117" s="78">
        <f t="shared" si="2"/>
        <v>0</v>
      </c>
      <c r="C117" s="79"/>
      <c r="D117" s="80"/>
      <c r="E117" s="101"/>
      <c r="F117" s="81"/>
    </row>
    <row r="118" spans="1:6" x14ac:dyDescent="0.25">
      <c r="A118" s="77"/>
      <c r="B118" s="78">
        <f t="shared" si="2"/>
        <v>0</v>
      </c>
      <c r="C118" s="79"/>
      <c r="D118" s="80"/>
      <c r="E118" s="101"/>
      <c r="F118" s="81"/>
    </row>
    <row r="119" spans="1:6" x14ac:dyDescent="0.25">
      <c r="A119" s="77"/>
      <c r="B119" s="78">
        <f t="shared" si="2"/>
        <v>0</v>
      </c>
      <c r="C119" s="79"/>
      <c r="D119" s="80"/>
      <c r="E119" s="101"/>
      <c r="F119" s="81"/>
    </row>
    <row r="120" spans="1:6" x14ac:dyDescent="0.25">
      <c r="A120" s="77"/>
      <c r="B120" s="78">
        <f t="shared" si="2"/>
        <v>0</v>
      </c>
      <c r="C120" s="79"/>
      <c r="D120" s="80"/>
      <c r="E120" s="101"/>
      <c r="F120" s="81"/>
    </row>
    <row r="121" spans="1:6" x14ac:dyDescent="0.25">
      <c r="A121" s="77"/>
      <c r="B121" s="78">
        <f t="shared" si="2"/>
        <v>0</v>
      </c>
      <c r="C121" s="79"/>
      <c r="D121" s="80"/>
      <c r="E121" s="101"/>
      <c r="F121" s="81"/>
    </row>
    <row r="122" spans="1:6" x14ac:dyDescent="0.25">
      <c r="A122" s="77"/>
      <c r="B122" s="78">
        <f t="shared" si="2"/>
        <v>0</v>
      </c>
      <c r="C122" s="79"/>
      <c r="D122" s="80"/>
      <c r="E122" s="101"/>
      <c r="F122" s="81"/>
    </row>
    <row r="123" spans="1:6" x14ac:dyDescent="0.25">
      <c r="A123" s="77"/>
      <c r="B123" s="78">
        <f t="shared" si="2"/>
        <v>0</v>
      </c>
      <c r="C123" s="79"/>
      <c r="D123" s="80"/>
      <c r="E123" s="101"/>
      <c r="F123" s="81"/>
    </row>
    <row r="124" spans="1:6" x14ac:dyDescent="0.25">
      <c r="A124" s="77"/>
      <c r="B124" s="78">
        <f t="shared" si="2"/>
        <v>0</v>
      </c>
      <c r="C124" s="79"/>
      <c r="D124" s="80"/>
      <c r="E124" s="101"/>
      <c r="F124" s="81"/>
    </row>
    <row r="125" spans="1:6" x14ac:dyDescent="0.25">
      <c r="A125" s="77"/>
      <c r="B125" s="78">
        <f t="shared" si="2"/>
        <v>0</v>
      </c>
      <c r="C125" s="79"/>
      <c r="D125" s="80"/>
      <c r="E125" s="101"/>
      <c r="F125" s="81"/>
    </row>
    <row r="126" spans="1:6" x14ac:dyDescent="0.25">
      <c r="A126" s="77"/>
      <c r="B126" s="78">
        <f t="shared" si="2"/>
        <v>0</v>
      </c>
      <c r="C126" s="79"/>
      <c r="D126" s="80"/>
      <c r="E126" s="101"/>
      <c r="F126" s="81"/>
    </row>
    <row r="127" spans="1:6" x14ac:dyDescent="0.25">
      <c r="A127" s="77"/>
      <c r="B127" s="78">
        <f t="shared" si="2"/>
        <v>0</v>
      </c>
      <c r="C127" s="79"/>
      <c r="D127" s="80"/>
      <c r="E127" s="101"/>
      <c r="F127" s="81"/>
    </row>
    <row r="128" spans="1:6" x14ac:dyDescent="0.25">
      <c r="A128" s="77"/>
      <c r="B128" s="78">
        <f t="shared" si="2"/>
        <v>0</v>
      </c>
      <c r="C128" s="79"/>
      <c r="D128" s="80"/>
      <c r="E128" s="101"/>
      <c r="F128" s="81"/>
    </row>
    <row r="129" spans="1:6" x14ac:dyDescent="0.25">
      <c r="A129" s="77"/>
      <c r="B129" s="78">
        <f t="shared" si="2"/>
        <v>0</v>
      </c>
      <c r="C129" s="79"/>
      <c r="D129" s="80"/>
      <c r="E129" s="101"/>
      <c r="F129" s="81"/>
    </row>
    <row r="130" spans="1:6" x14ac:dyDescent="0.25">
      <c r="A130" s="77"/>
      <c r="B130" s="78">
        <f t="shared" si="2"/>
        <v>0</v>
      </c>
      <c r="C130" s="79"/>
      <c r="D130" s="80"/>
      <c r="E130" s="101"/>
      <c r="F130" s="81"/>
    </row>
    <row r="131" spans="1:6" x14ac:dyDescent="0.25">
      <c r="A131" s="77"/>
      <c r="B131" s="78">
        <f t="shared" si="2"/>
        <v>0</v>
      </c>
      <c r="C131" s="79"/>
      <c r="D131" s="80"/>
      <c r="E131" s="101"/>
      <c r="F131" s="81"/>
    </row>
    <row r="132" spans="1:6" x14ac:dyDescent="0.25">
      <c r="A132" s="77"/>
      <c r="B132" s="78">
        <f t="shared" si="2"/>
        <v>0</v>
      </c>
      <c r="C132" s="79"/>
      <c r="D132" s="80"/>
      <c r="E132" s="101"/>
      <c r="F132" s="81"/>
    </row>
    <row r="133" spans="1:6" x14ac:dyDescent="0.25">
      <c r="A133" s="77"/>
      <c r="B133" s="78">
        <f t="shared" si="2"/>
        <v>0</v>
      </c>
      <c r="C133" s="79"/>
      <c r="D133" s="80"/>
      <c r="E133" s="101"/>
      <c r="F133" s="81"/>
    </row>
    <row r="134" spans="1:6" x14ac:dyDescent="0.25">
      <c r="A134" s="77"/>
      <c r="B134" s="78">
        <f t="shared" si="2"/>
        <v>0</v>
      </c>
      <c r="C134" s="79"/>
      <c r="D134" s="80"/>
      <c r="E134" s="101"/>
      <c r="F134" s="81"/>
    </row>
    <row r="135" spans="1:6" x14ac:dyDescent="0.25">
      <c r="A135" s="77"/>
      <c r="B135" s="78">
        <f t="shared" si="2"/>
        <v>0</v>
      </c>
      <c r="C135" s="79"/>
      <c r="D135" s="80"/>
      <c r="E135" s="101"/>
      <c r="F135" s="81"/>
    </row>
    <row r="136" spans="1:6" x14ac:dyDescent="0.25">
      <c r="A136" s="77"/>
      <c r="B136" s="78">
        <f t="shared" si="2"/>
        <v>0</v>
      </c>
      <c r="C136" s="79"/>
      <c r="D136" s="80"/>
      <c r="E136" s="101"/>
      <c r="F136" s="81"/>
    </row>
    <row r="137" spans="1:6" x14ac:dyDescent="0.25">
      <c r="A137" s="77"/>
      <c r="B137" s="78">
        <f t="shared" si="2"/>
        <v>0</v>
      </c>
      <c r="C137" s="79"/>
      <c r="D137" s="80"/>
      <c r="E137" s="101"/>
      <c r="F137" s="81"/>
    </row>
    <row r="138" spans="1:6" x14ac:dyDescent="0.25">
      <c r="A138" s="77"/>
      <c r="B138" s="78">
        <f t="shared" si="2"/>
        <v>0</v>
      </c>
      <c r="C138" s="79"/>
      <c r="D138" s="80"/>
      <c r="E138" s="101"/>
      <c r="F138" s="81"/>
    </row>
    <row r="139" spans="1:6" x14ac:dyDescent="0.25">
      <c r="A139" s="77"/>
      <c r="B139" s="78">
        <f t="shared" si="2"/>
        <v>0</v>
      </c>
      <c r="C139" s="79"/>
      <c r="D139" s="80"/>
      <c r="E139" s="101"/>
      <c r="F139" s="81"/>
    </row>
    <row r="140" spans="1:6" x14ac:dyDescent="0.25">
      <c r="A140" s="77"/>
      <c r="B140" s="78">
        <f t="shared" si="2"/>
        <v>0</v>
      </c>
      <c r="C140" s="79"/>
      <c r="D140" s="80"/>
      <c r="E140" s="101"/>
      <c r="F140" s="81"/>
    </row>
    <row r="141" spans="1:6" x14ac:dyDescent="0.25">
      <c r="A141" s="77"/>
      <c r="B141" s="78">
        <f t="shared" si="2"/>
        <v>0</v>
      </c>
      <c r="C141" s="79"/>
      <c r="D141" s="80"/>
      <c r="E141" s="101"/>
      <c r="F141" s="81"/>
    </row>
    <row r="142" spans="1:6" x14ac:dyDescent="0.25">
      <c r="A142" s="77"/>
      <c r="B142" s="78">
        <f t="shared" si="2"/>
        <v>0</v>
      </c>
      <c r="C142" s="79"/>
      <c r="D142" s="80"/>
      <c r="E142" s="101"/>
      <c r="F142" s="81"/>
    </row>
    <row r="143" spans="1:6" x14ac:dyDescent="0.25">
      <c r="A143" s="77"/>
      <c r="B143" s="78">
        <f t="shared" si="2"/>
        <v>0</v>
      </c>
      <c r="C143" s="79"/>
      <c r="D143" s="80"/>
      <c r="E143" s="101"/>
      <c r="F143" s="81"/>
    </row>
    <row r="144" spans="1:6" x14ac:dyDescent="0.25">
      <c r="A144" s="77"/>
      <c r="B144" s="78">
        <f t="shared" si="2"/>
        <v>0</v>
      </c>
      <c r="C144" s="79"/>
      <c r="D144" s="80"/>
      <c r="E144" s="101"/>
      <c r="F144" s="81"/>
    </row>
    <row r="145" spans="1:6" x14ac:dyDescent="0.25">
      <c r="A145" s="77"/>
      <c r="B145" s="78">
        <f t="shared" si="2"/>
        <v>0</v>
      </c>
      <c r="C145" s="79"/>
      <c r="D145" s="80"/>
      <c r="E145" s="101"/>
      <c r="F145" s="81"/>
    </row>
    <row r="146" spans="1:6" x14ac:dyDescent="0.25">
      <c r="A146" s="77"/>
      <c r="B146" s="78">
        <f t="shared" si="2"/>
        <v>0</v>
      </c>
      <c r="C146" s="79"/>
      <c r="D146" s="80"/>
      <c r="E146" s="101"/>
      <c r="F146" s="81"/>
    </row>
    <row r="147" spans="1:6" x14ac:dyDescent="0.25">
      <c r="A147" s="77"/>
      <c r="B147" s="78">
        <f t="shared" ref="B147:B210" si="3">WEEKNUM(A147,1)</f>
        <v>0</v>
      </c>
      <c r="C147" s="79"/>
      <c r="D147" s="80"/>
      <c r="E147" s="101"/>
      <c r="F147" s="81"/>
    </row>
    <row r="148" spans="1:6" x14ac:dyDescent="0.25">
      <c r="A148" s="77"/>
      <c r="B148" s="78">
        <f t="shared" si="3"/>
        <v>0</v>
      </c>
      <c r="C148" s="79"/>
      <c r="D148" s="80"/>
      <c r="E148" s="101"/>
      <c r="F148" s="81"/>
    </row>
    <row r="149" spans="1:6" x14ac:dyDescent="0.25">
      <c r="A149" s="77"/>
      <c r="B149" s="78">
        <f t="shared" si="3"/>
        <v>0</v>
      </c>
      <c r="C149" s="79"/>
      <c r="D149" s="80"/>
      <c r="E149" s="101"/>
      <c r="F149" s="81"/>
    </row>
    <row r="150" spans="1:6" x14ac:dyDescent="0.25">
      <c r="A150" s="77"/>
      <c r="B150" s="78">
        <f t="shared" si="3"/>
        <v>0</v>
      </c>
      <c r="C150" s="79"/>
      <c r="D150" s="80"/>
      <c r="E150" s="101"/>
      <c r="F150" s="81"/>
    </row>
    <row r="151" spans="1:6" x14ac:dyDescent="0.25">
      <c r="A151" s="77"/>
      <c r="B151" s="78">
        <f t="shared" si="3"/>
        <v>0</v>
      </c>
      <c r="C151" s="79"/>
      <c r="D151" s="80"/>
      <c r="E151" s="101"/>
      <c r="F151" s="81"/>
    </row>
    <row r="152" spans="1:6" x14ac:dyDescent="0.25">
      <c r="A152" s="77"/>
      <c r="B152" s="78">
        <f t="shared" si="3"/>
        <v>0</v>
      </c>
      <c r="C152" s="79"/>
      <c r="D152" s="80"/>
      <c r="E152" s="101"/>
      <c r="F152" s="81"/>
    </row>
    <row r="153" spans="1:6" x14ac:dyDescent="0.25">
      <c r="A153" s="77"/>
      <c r="B153" s="78">
        <f t="shared" si="3"/>
        <v>0</v>
      </c>
      <c r="C153" s="79"/>
      <c r="D153" s="80"/>
      <c r="E153" s="101"/>
      <c r="F153" s="81"/>
    </row>
    <row r="154" spans="1:6" x14ac:dyDescent="0.25">
      <c r="A154" s="77"/>
      <c r="B154" s="78">
        <f t="shared" si="3"/>
        <v>0</v>
      </c>
      <c r="C154" s="79"/>
      <c r="D154" s="80"/>
      <c r="E154" s="101"/>
      <c r="F154" s="81"/>
    </row>
    <row r="155" spans="1:6" x14ac:dyDescent="0.25">
      <c r="A155" s="77"/>
      <c r="B155" s="78">
        <f t="shared" si="3"/>
        <v>0</v>
      </c>
      <c r="C155" s="79"/>
      <c r="D155" s="80"/>
      <c r="E155" s="101"/>
      <c r="F155" s="81"/>
    </row>
    <row r="156" spans="1:6" x14ac:dyDescent="0.25">
      <c r="A156" s="77"/>
      <c r="B156" s="78">
        <f t="shared" si="3"/>
        <v>0</v>
      </c>
      <c r="C156" s="79"/>
      <c r="D156" s="80"/>
      <c r="E156" s="101"/>
      <c r="F156" s="81"/>
    </row>
    <row r="157" spans="1:6" x14ac:dyDescent="0.25">
      <c r="A157" s="77"/>
      <c r="B157" s="78">
        <f t="shared" si="3"/>
        <v>0</v>
      </c>
      <c r="C157" s="79"/>
      <c r="D157" s="80"/>
      <c r="E157" s="101"/>
      <c r="F157" s="81"/>
    </row>
    <row r="158" spans="1:6" x14ac:dyDescent="0.25">
      <c r="A158" s="77"/>
      <c r="B158" s="78">
        <f t="shared" si="3"/>
        <v>0</v>
      </c>
      <c r="C158" s="79"/>
      <c r="D158" s="80"/>
      <c r="E158" s="101"/>
      <c r="F158" s="81"/>
    </row>
    <row r="159" spans="1:6" x14ac:dyDescent="0.25">
      <c r="A159" s="77"/>
      <c r="B159" s="78">
        <f t="shared" si="3"/>
        <v>0</v>
      </c>
      <c r="C159" s="79"/>
      <c r="D159" s="80"/>
      <c r="E159" s="101"/>
      <c r="F159" s="81"/>
    </row>
    <row r="160" spans="1:6" x14ac:dyDescent="0.25">
      <c r="A160" s="77"/>
      <c r="B160" s="78">
        <f t="shared" si="3"/>
        <v>0</v>
      </c>
      <c r="C160" s="79"/>
      <c r="D160" s="80"/>
      <c r="E160" s="101"/>
      <c r="F160" s="81"/>
    </row>
    <row r="161" spans="1:6" x14ac:dyDescent="0.25">
      <c r="A161" s="77"/>
      <c r="B161" s="78">
        <f t="shared" si="3"/>
        <v>0</v>
      </c>
      <c r="C161" s="79"/>
      <c r="D161" s="80"/>
      <c r="E161" s="101"/>
      <c r="F161" s="81"/>
    </row>
    <row r="162" spans="1:6" x14ac:dyDescent="0.25">
      <c r="A162" s="77"/>
      <c r="B162" s="78">
        <f t="shared" si="3"/>
        <v>0</v>
      </c>
      <c r="C162" s="79"/>
      <c r="D162" s="80"/>
      <c r="E162" s="101"/>
      <c r="F162" s="81"/>
    </row>
    <row r="163" spans="1:6" x14ac:dyDescent="0.25">
      <c r="A163" s="77"/>
      <c r="B163" s="78">
        <f t="shared" si="3"/>
        <v>0</v>
      </c>
      <c r="C163" s="79"/>
      <c r="D163" s="80"/>
      <c r="E163" s="101"/>
      <c r="F163" s="81"/>
    </row>
    <row r="164" spans="1:6" x14ac:dyDescent="0.25">
      <c r="A164" s="77"/>
      <c r="B164" s="78">
        <f t="shared" si="3"/>
        <v>0</v>
      </c>
      <c r="C164" s="79"/>
      <c r="D164" s="80"/>
      <c r="E164" s="101"/>
      <c r="F164" s="81"/>
    </row>
    <row r="165" spans="1:6" x14ac:dyDescent="0.25">
      <c r="A165" s="77"/>
      <c r="B165" s="78">
        <f t="shared" si="3"/>
        <v>0</v>
      </c>
      <c r="C165" s="79"/>
      <c r="D165" s="80"/>
      <c r="E165" s="101"/>
      <c r="F165" s="81"/>
    </row>
    <row r="166" spans="1:6" x14ac:dyDescent="0.25">
      <c r="A166" s="77"/>
      <c r="B166" s="78">
        <f t="shared" si="3"/>
        <v>0</v>
      </c>
      <c r="C166" s="79"/>
      <c r="D166" s="80"/>
      <c r="E166" s="101"/>
      <c r="F166" s="81"/>
    </row>
    <row r="167" spans="1:6" x14ac:dyDescent="0.25">
      <c r="A167" s="77"/>
      <c r="B167" s="78">
        <f t="shared" si="3"/>
        <v>0</v>
      </c>
      <c r="C167" s="79"/>
      <c r="D167" s="80"/>
      <c r="E167" s="101"/>
      <c r="F167" s="81"/>
    </row>
    <row r="168" spans="1:6" x14ac:dyDescent="0.25">
      <c r="A168" s="77"/>
      <c r="B168" s="78">
        <f t="shared" si="3"/>
        <v>0</v>
      </c>
      <c r="C168" s="79"/>
      <c r="D168" s="80"/>
      <c r="E168" s="101"/>
      <c r="F168" s="81"/>
    </row>
    <row r="169" spans="1:6" x14ac:dyDescent="0.25">
      <c r="A169" s="77"/>
      <c r="B169" s="78">
        <f t="shared" si="3"/>
        <v>0</v>
      </c>
      <c r="C169" s="79"/>
      <c r="D169" s="80"/>
      <c r="E169" s="101"/>
      <c r="F169" s="81"/>
    </row>
    <row r="170" spans="1:6" x14ac:dyDescent="0.25">
      <c r="A170" s="77"/>
      <c r="B170" s="78">
        <f t="shared" si="3"/>
        <v>0</v>
      </c>
      <c r="C170" s="79"/>
      <c r="D170" s="80"/>
      <c r="E170" s="101"/>
      <c r="F170" s="81"/>
    </row>
    <row r="171" spans="1:6" x14ac:dyDescent="0.25">
      <c r="A171" s="77"/>
      <c r="B171" s="78">
        <f t="shared" si="3"/>
        <v>0</v>
      </c>
      <c r="C171" s="79"/>
      <c r="D171" s="80"/>
      <c r="E171" s="101"/>
      <c r="F171" s="81"/>
    </row>
    <row r="172" spans="1:6" x14ac:dyDescent="0.25">
      <c r="A172" s="77"/>
      <c r="B172" s="78">
        <f t="shared" si="3"/>
        <v>0</v>
      </c>
      <c r="C172" s="79"/>
      <c r="D172" s="80"/>
      <c r="E172" s="101"/>
      <c r="F172" s="81"/>
    </row>
    <row r="173" spans="1:6" x14ac:dyDescent="0.25">
      <c r="A173" s="77"/>
      <c r="B173" s="78">
        <f t="shared" si="3"/>
        <v>0</v>
      </c>
      <c r="C173" s="79"/>
      <c r="D173" s="80"/>
      <c r="E173" s="101"/>
      <c r="F173" s="81"/>
    </row>
    <row r="174" spans="1:6" x14ac:dyDescent="0.25">
      <c r="A174" s="77"/>
      <c r="B174" s="78">
        <f t="shared" si="3"/>
        <v>0</v>
      </c>
      <c r="C174" s="79"/>
      <c r="D174" s="80"/>
      <c r="E174" s="101"/>
      <c r="F174" s="81"/>
    </row>
    <row r="175" spans="1:6" x14ac:dyDescent="0.25">
      <c r="A175" s="77"/>
      <c r="B175" s="78">
        <f t="shared" si="3"/>
        <v>0</v>
      </c>
      <c r="C175" s="79"/>
      <c r="D175" s="80"/>
      <c r="E175" s="101"/>
      <c r="F175" s="81"/>
    </row>
    <row r="176" spans="1:6" x14ac:dyDescent="0.25">
      <c r="A176" s="77"/>
      <c r="B176" s="78">
        <f t="shared" si="3"/>
        <v>0</v>
      </c>
      <c r="C176" s="79"/>
      <c r="D176" s="80"/>
      <c r="E176" s="101"/>
      <c r="F176" s="81"/>
    </row>
    <row r="177" spans="1:6" x14ac:dyDescent="0.25">
      <c r="A177" s="77"/>
      <c r="B177" s="78">
        <f t="shared" si="3"/>
        <v>0</v>
      </c>
      <c r="C177" s="79"/>
      <c r="D177" s="80"/>
      <c r="E177" s="101"/>
      <c r="F177" s="81"/>
    </row>
    <row r="178" spans="1:6" x14ac:dyDescent="0.25">
      <c r="A178" s="77"/>
      <c r="B178" s="78">
        <f t="shared" si="3"/>
        <v>0</v>
      </c>
      <c r="C178" s="79"/>
      <c r="D178" s="80"/>
      <c r="E178" s="101"/>
      <c r="F178" s="81"/>
    </row>
    <row r="179" spans="1:6" x14ac:dyDescent="0.25">
      <c r="A179" s="77"/>
      <c r="B179" s="78">
        <f t="shared" si="3"/>
        <v>0</v>
      </c>
      <c r="C179" s="79"/>
      <c r="D179" s="80"/>
      <c r="E179" s="101"/>
      <c r="F179" s="81"/>
    </row>
    <row r="180" spans="1:6" x14ac:dyDescent="0.25">
      <c r="A180" s="77"/>
      <c r="B180" s="78">
        <f t="shared" si="3"/>
        <v>0</v>
      </c>
      <c r="C180" s="79"/>
      <c r="D180" s="80"/>
      <c r="E180" s="101"/>
      <c r="F180" s="81"/>
    </row>
    <row r="181" spans="1:6" x14ac:dyDescent="0.25">
      <c r="A181" s="77"/>
      <c r="B181" s="78">
        <f t="shared" si="3"/>
        <v>0</v>
      </c>
      <c r="C181" s="79"/>
      <c r="D181" s="80"/>
      <c r="E181" s="101"/>
      <c r="F181" s="81"/>
    </row>
    <row r="182" spans="1:6" x14ac:dyDescent="0.25">
      <c r="A182" s="77"/>
      <c r="B182" s="78">
        <f t="shared" si="3"/>
        <v>0</v>
      </c>
      <c r="C182" s="79"/>
      <c r="D182" s="80"/>
      <c r="E182" s="101"/>
      <c r="F182" s="81"/>
    </row>
    <row r="183" spans="1:6" x14ac:dyDescent="0.25">
      <c r="A183" s="77"/>
      <c r="B183" s="78">
        <f t="shared" si="3"/>
        <v>0</v>
      </c>
      <c r="C183" s="79"/>
      <c r="D183" s="80"/>
      <c r="E183" s="101"/>
      <c r="F183" s="81"/>
    </row>
    <row r="184" spans="1:6" x14ac:dyDescent="0.25">
      <c r="A184" s="77"/>
      <c r="B184" s="78">
        <f t="shared" si="3"/>
        <v>0</v>
      </c>
      <c r="C184" s="79"/>
      <c r="D184" s="80"/>
      <c r="E184" s="101"/>
      <c r="F184" s="81"/>
    </row>
    <row r="185" spans="1:6" x14ac:dyDescent="0.25">
      <c r="A185" s="77"/>
      <c r="B185" s="78">
        <f t="shared" si="3"/>
        <v>0</v>
      </c>
      <c r="C185" s="79"/>
      <c r="D185" s="80"/>
      <c r="E185" s="101"/>
      <c r="F185" s="81"/>
    </row>
    <row r="186" spans="1:6" x14ac:dyDescent="0.25">
      <c r="A186" s="77"/>
      <c r="B186" s="78">
        <f t="shared" si="3"/>
        <v>0</v>
      </c>
      <c r="C186" s="79"/>
      <c r="D186" s="80"/>
      <c r="E186" s="101"/>
      <c r="F186" s="81"/>
    </row>
    <row r="187" spans="1:6" x14ac:dyDescent="0.25">
      <c r="A187" s="77"/>
      <c r="B187" s="78">
        <f t="shared" si="3"/>
        <v>0</v>
      </c>
      <c r="C187" s="79"/>
      <c r="D187" s="80"/>
      <c r="E187" s="101"/>
      <c r="F187" s="81"/>
    </row>
    <row r="188" spans="1:6" x14ac:dyDescent="0.25">
      <c r="A188" s="77"/>
      <c r="B188" s="78">
        <f t="shared" si="3"/>
        <v>0</v>
      </c>
      <c r="C188" s="79"/>
      <c r="D188" s="80"/>
      <c r="E188" s="101"/>
      <c r="F188" s="81"/>
    </row>
    <row r="189" spans="1:6" x14ac:dyDescent="0.25">
      <c r="A189" s="77"/>
      <c r="B189" s="78">
        <f t="shared" si="3"/>
        <v>0</v>
      </c>
      <c r="C189" s="79"/>
      <c r="D189" s="80"/>
      <c r="E189" s="101"/>
      <c r="F189" s="81"/>
    </row>
    <row r="190" spans="1:6" x14ac:dyDescent="0.25">
      <c r="A190" s="77"/>
      <c r="B190" s="78">
        <f t="shared" si="3"/>
        <v>0</v>
      </c>
      <c r="C190" s="79"/>
      <c r="D190" s="80"/>
      <c r="E190" s="101"/>
      <c r="F190" s="81"/>
    </row>
    <row r="191" spans="1:6" x14ac:dyDescent="0.25">
      <c r="A191" s="77"/>
      <c r="B191" s="78">
        <f t="shared" si="3"/>
        <v>0</v>
      </c>
      <c r="C191" s="79"/>
      <c r="D191" s="80"/>
      <c r="E191" s="101"/>
      <c r="F191" s="81"/>
    </row>
    <row r="192" spans="1:6" x14ac:dyDescent="0.25">
      <c r="A192" s="77"/>
      <c r="B192" s="78">
        <f t="shared" si="3"/>
        <v>0</v>
      </c>
      <c r="C192" s="79"/>
      <c r="D192" s="80"/>
      <c r="E192" s="101"/>
      <c r="F192" s="81"/>
    </row>
    <row r="193" spans="1:6" x14ac:dyDescent="0.25">
      <c r="A193" s="77"/>
      <c r="B193" s="78">
        <f t="shared" si="3"/>
        <v>0</v>
      </c>
      <c r="C193" s="79"/>
      <c r="D193" s="80"/>
      <c r="E193" s="101"/>
      <c r="F193" s="81"/>
    </row>
    <row r="194" spans="1:6" x14ac:dyDescent="0.25">
      <c r="A194" s="77"/>
      <c r="B194" s="78">
        <f t="shared" si="3"/>
        <v>0</v>
      </c>
      <c r="C194" s="79"/>
      <c r="D194" s="80"/>
      <c r="E194" s="101"/>
      <c r="F194" s="81"/>
    </row>
    <row r="195" spans="1:6" x14ac:dyDescent="0.25">
      <c r="A195" s="77"/>
      <c r="B195" s="78">
        <f t="shared" si="3"/>
        <v>0</v>
      </c>
      <c r="C195" s="79"/>
      <c r="D195" s="80"/>
      <c r="E195" s="101"/>
      <c r="F195" s="81"/>
    </row>
    <row r="196" spans="1:6" x14ac:dyDescent="0.25">
      <c r="A196" s="77"/>
      <c r="B196" s="78">
        <f t="shared" si="3"/>
        <v>0</v>
      </c>
      <c r="C196" s="79"/>
      <c r="D196" s="80"/>
      <c r="E196" s="101"/>
      <c r="F196" s="81"/>
    </row>
    <row r="197" spans="1:6" x14ac:dyDescent="0.25">
      <c r="A197" s="77"/>
      <c r="B197" s="78">
        <f t="shared" si="3"/>
        <v>0</v>
      </c>
      <c r="C197" s="79"/>
      <c r="D197" s="80"/>
      <c r="E197" s="101"/>
      <c r="F197" s="81"/>
    </row>
    <row r="198" spans="1:6" x14ac:dyDescent="0.25">
      <c r="A198" s="77"/>
      <c r="B198" s="78">
        <f t="shared" si="3"/>
        <v>0</v>
      </c>
      <c r="C198" s="79"/>
      <c r="D198" s="80"/>
      <c r="E198" s="101"/>
      <c r="F198" s="81"/>
    </row>
    <row r="199" spans="1:6" x14ac:dyDescent="0.25">
      <c r="A199" s="77"/>
      <c r="B199" s="78">
        <f t="shared" si="3"/>
        <v>0</v>
      </c>
      <c r="C199" s="79"/>
      <c r="D199" s="80"/>
      <c r="E199" s="101"/>
      <c r="F199" s="81"/>
    </row>
    <row r="200" spans="1:6" x14ac:dyDescent="0.25">
      <c r="A200" s="77"/>
      <c r="B200" s="78">
        <f t="shared" si="3"/>
        <v>0</v>
      </c>
      <c r="C200" s="79"/>
      <c r="D200" s="80"/>
      <c r="E200" s="101"/>
      <c r="F200" s="81"/>
    </row>
    <row r="201" spans="1:6" x14ac:dyDescent="0.25">
      <c r="A201" s="77"/>
      <c r="B201" s="78">
        <f t="shared" si="3"/>
        <v>0</v>
      </c>
      <c r="C201" s="79"/>
      <c r="D201" s="80"/>
      <c r="E201" s="101"/>
      <c r="F201" s="81"/>
    </row>
    <row r="202" spans="1:6" x14ac:dyDescent="0.25">
      <c r="A202" s="77"/>
      <c r="B202" s="78">
        <f t="shared" si="3"/>
        <v>0</v>
      </c>
      <c r="C202" s="79"/>
      <c r="D202" s="80"/>
      <c r="E202" s="101"/>
      <c r="F202" s="81"/>
    </row>
    <row r="203" spans="1:6" x14ac:dyDescent="0.25">
      <c r="A203" s="77"/>
      <c r="B203" s="78">
        <f t="shared" si="3"/>
        <v>0</v>
      </c>
      <c r="C203" s="79"/>
      <c r="D203" s="80"/>
      <c r="E203" s="101"/>
      <c r="F203" s="81"/>
    </row>
    <row r="204" spans="1:6" x14ac:dyDescent="0.25">
      <c r="A204" s="77"/>
      <c r="B204" s="78">
        <f t="shared" si="3"/>
        <v>0</v>
      </c>
      <c r="C204" s="79"/>
      <c r="D204" s="80"/>
      <c r="E204" s="101"/>
      <c r="F204" s="81"/>
    </row>
    <row r="205" spans="1:6" x14ac:dyDescent="0.25">
      <c r="A205" s="77"/>
      <c r="B205" s="78">
        <f t="shared" si="3"/>
        <v>0</v>
      </c>
      <c r="C205" s="79"/>
      <c r="D205" s="80"/>
      <c r="E205" s="101"/>
      <c r="F205" s="81"/>
    </row>
    <row r="206" spans="1:6" x14ac:dyDescent="0.25">
      <c r="A206" s="77"/>
      <c r="B206" s="78">
        <f t="shared" si="3"/>
        <v>0</v>
      </c>
      <c r="C206" s="79"/>
      <c r="D206" s="80"/>
      <c r="E206" s="101"/>
      <c r="F206" s="81"/>
    </row>
    <row r="207" spans="1:6" x14ac:dyDescent="0.25">
      <c r="A207" s="77"/>
      <c r="B207" s="78">
        <f t="shared" si="3"/>
        <v>0</v>
      </c>
      <c r="C207" s="79"/>
      <c r="D207" s="80"/>
      <c r="E207" s="101"/>
      <c r="F207" s="81"/>
    </row>
    <row r="208" spans="1:6" x14ac:dyDescent="0.25">
      <c r="A208" s="77"/>
      <c r="B208" s="78">
        <f t="shared" si="3"/>
        <v>0</v>
      </c>
      <c r="C208" s="79"/>
      <c r="D208" s="80"/>
      <c r="E208" s="101"/>
      <c r="F208" s="81"/>
    </row>
    <row r="209" spans="1:6" x14ac:dyDescent="0.25">
      <c r="A209" s="77"/>
      <c r="B209" s="78">
        <f t="shared" si="3"/>
        <v>0</v>
      </c>
      <c r="C209" s="79"/>
      <c r="D209" s="80"/>
      <c r="E209" s="101"/>
      <c r="F209" s="81"/>
    </row>
    <row r="210" spans="1:6" x14ac:dyDescent="0.25">
      <c r="A210" s="77"/>
      <c r="B210" s="78">
        <f t="shared" si="3"/>
        <v>0</v>
      </c>
      <c r="C210" s="79"/>
      <c r="D210" s="80"/>
      <c r="E210" s="101"/>
      <c r="F210" s="81"/>
    </row>
    <row r="211" spans="1:6" x14ac:dyDescent="0.25">
      <c r="A211" s="77"/>
      <c r="B211" s="78">
        <f t="shared" ref="B211:B274" si="4">WEEKNUM(A211,1)</f>
        <v>0</v>
      </c>
      <c r="C211" s="79"/>
      <c r="D211" s="80"/>
      <c r="E211" s="101"/>
      <c r="F211" s="81"/>
    </row>
    <row r="212" spans="1:6" x14ac:dyDescent="0.25">
      <c r="A212" s="77"/>
      <c r="B212" s="78">
        <f t="shared" si="4"/>
        <v>0</v>
      </c>
      <c r="C212" s="79"/>
      <c r="D212" s="80"/>
      <c r="E212" s="101"/>
      <c r="F212" s="81"/>
    </row>
    <row r="213" spans="1:6" x14ac:dyDescent="0.25">
      <c r="A213" s="77"/>
      <c r="B213" s="78">
        <f t="shared" si="4"/>
        <v>0</v>
      </c>
      <c r="C213" s="79"/>
      <c r="D213" s="80"/>
      <c r="E213" s="101"/>
      <c r="F213" s="81"/>
    </row>
    <row r="214" spans="1:6" x14ac:dyDescent="0.25">
      <c r="A214" s="77"/>
      <c r="B214" s="78">
        <f t="shared" si="4"/>
        <v>0</v>
      </c>
      <c r="C214" s="79"/>
      <c r="D214" s="80"/>
      <c r="E214" s="101"/>
      <c r="F214" s="81"/>
    </row>
    <row r="215" spans="1:6" x14ac:dyDescent="0.25">
      <c r="A215" s="77"/>
      <c r="B215" s="78">
        <f t="shared" si="4"/>
        <v>0</v>
      </c>
      <c r="C215" s="79"/>
      <c r="D215" s="80"/>
      <c r="E215" s="101"/>
      <c r="F215" s="81"/>
    </row>
    <row r="216" spans="1:6" x14ac:dyDescent="0.25">
      <c r="A216" s="77"/>
      <c r="B216" s="78">
        <f t="shared" si="4"/>
        <v>0</v>
      </c>
      <c r="C216" s="79"/>
      <c r="D216" s="80"/>
      <c r="E216" s="101"/>
      <c r="F216" s="81"/>
    </row>
    <row r="217" spans="1:6" x14ac:dyDescent="0.25">
      <c r="A217" s="77"/>
      <c r="B217" s="78">
        <f t="shared" si="4"/>
        <v>0</v>
      </c>
      <c r="C217" s="79"/>
      <c r="D217" s="80"/>
      <c r="E217" s="101"/>
      <c r="F217" s="81"/>
    </row>
    <row r="218" spans="1:6" x14ac:dyDescent="0.25">
      <c r="A218" s="77"/>
      <c r="B218" s="78">
        <f t="shared" si="4"/>
        <v>0</v>
      </c>
      <c r="C218" s="79"/>
      <c r="D218" s="80"/>
      <c r="E218" s="101"/>
      <c r="F218" s="81"/>
    </row>
    <row r="219" spans="1:6" x14ac:dyDescent="0.25">
      <c r="A219" s="77"/>
      <c r="B219" s="78">
        <f t="shared" si="4"/>
        <v>0</v>
      </c>
      <c r="C219" s="79"/>
      <c r="D219" s="80"/>
      <c r="E219" s="101"/>
      <c r="F219" s="81"/>
    </row>
    <row r="220" spans="1:6" x14ac:dyDescent="0.25">
      <c r="A220" s="77"/>
      <c r="B220" s="78">
        <f t="shared" si="4"/>
        <v>0</v>
      </c>
      <c r="C220" s="79"/>
      <c r="D220" s="80"/>
      <c r="E220" s="101"/>
      <c r="F220" s="81"/>
    </row>
    <row r="221" spans="1:6" x14ac:dyDescent="0.25">
      <c r="A221" s="77"/>
      <c r="B221" s="78">
        <f t="shared" si="4"/>
        <v>0</v>
      </c>
      <c r="C221" s="79"/>
      <c r="D221" s="80"/>
      <c r="E221" s="101"/>
      <c r="F221" s="81"/>
    </row>
    <row r="222" spans="1:6" x14ac:dyDescent="0.25">
      <c r="A222" s="77"/>
      <c r="B222" s="78">
        <f t="shared" si="4"/>
        <v>0</v>
      </c>
      <c r="C222" s="79"/>
      <c r="D222" s="80"/>
      <c r="E222" s="101"/>
      <c r="F222" s="81"/>
    </row>
    <row r="223" spans="1:6" x14ac:dyDescent="0.25">
      <c r="A223" s="77"/>
      <c r="B223" s="78">
        <f t="shared" si="4"/>
        <v>0</v>
      </c>
      <c r="C223" s="79"/>
      <c r="D223" s="80"/>
      <c r="E223" s="101"/>
      <c r="F223" s="81"/>
    </row>
    <row r="224" spans="1:6" x14ac:dyDescent="0.25">
      <c r="A224" s="77"/>
      <c r="B224" s="78">
        <f t="shared" si="4"/>
        <v>0</v>
      </c>
      <c r="C224" s="79"/>
      <c r="D224" s="80"/>
      <c r="E224" s="101"/>
      <c r="F224" s="81"/>
    </row>
    <row r="225" spans="1:6" x14ac:dyDescent="0.25">
      <c r="A225" s="77"/>
      <c r="B225" s="78">
        <f t="shared" si="4"/>
        <v>0</v>
      </c>
      <c r="C225" s="79"/>
      <c r="D225" s="80"/>
      <c r="E225" s="101"/>
      <c r="F225" s="81"/>
    </row>
    <row r="226" spans="1:6" x14ac:dyDescent="0.25">
      <c r="A226" s="77"/>
      <c r="B226" s="78">
        <f t="shared" si="4"/>
        <v>0</v>
      </c>
      <c r="C226" s="79"/>
      <c r="D226" s="80"/>
      <c r="E226" s="101"/>
      <c r="F226" s="81"/>
    </row>
    <row r="227" spans="1:6" x14ac:dyDescent="0.25">
      <c r="A227" s="77"/>
      <c r="B227" s="78">
        <f t="shared" si="4"/>
        <v>0</v>
      </c>
      <c r="C227" s="79"/>
      <c r="D227" s="80"/>
      <c r="E227" s="101"/>
      <c r="F227" s="81"/>
    </row>
    <row r="228" spans="1:6" x14ac:dyDescent="0.25">
      <c r="A228" s="77"/>
      <c r="B228" s="78">
        <f t="shared" si="4"/>
        <v>0</v>
      </c>
      <c r="C228" s="79"/>
      <c r="D228" s="80"/>
      <c r="E228" s="101"/>
      <c r="F228" s="81"/>
    </row>
    <row r="229" spans="1:6" x14ac:dyDescent="0.25">
      <c r="A229" s="77"/>
      <c r="B229" s="78">
        <f t="shared" si="4"/>
        <v>0</v>
      </c>
      <c r="C229" s="79"/>
      <c r="D229" s="80"/>
      <c r="E229" s="101"/>
      <c r="F229" s="81"/>
    </row>
    <row r="230" spans="1:6" x14ac:dyDescent="0.25">
      <c r="A230" s="77"/>
      <c r="B230" s="78">
        <f t="shared" si="4"/>
        <v>0</v>
      </c>
      <c r="C230" s="79"/>
      <c r="D230" s="80"/>
      <c r="E230" s="101"/>
      <c r="F230" s="81"/>
    </row>
    <row r="231" spans="1:6" x14ac:dyDescent="0.25">
      <c r="A231" s="77"/>
      <c r="B231" s="78">
        <f t="shared" si="4"/>
        <v>0</v>
      </c>
      <c r="C231" s="79"/>
      <c r="D231" s="80"/>
      <c r="E231" s="101"/>
      <c r="F231" s="81"/>
    </row>
    <row r="232" spans="1:6" x14ac:dyDescent="0.25">
      <c r="A232" s="77"/>
      <c r="B232" s="78">
        <f t="shared" si="4"/>
        <v>0</v>
      </c>
      <c r="C232" s="79"/>
      <c r="D232" s="80"/>
      <c r="E232" s="101"/>
      <c r="F232" s="81"/>
    </row>
    <row r="233" spans="1:6" x14ac:dyDescent="0.25">
      <c r="A233" s="77"/>
      <c r="B233" s="78">
        <f t="shared" si="4"/>
        <v>0</v>
      </c>
      <c r="C233" s="79"/>
      <c r="D233" s="80"/>
      <c r="E233" s="101"/>
      <c r="F233" s="81"/>
    </row>
    <row r="234" spans="1:6" x14ac:dyDescent="0.25">
      <c r="A234" s="77"/>
      <c r="B234" s="78">
        <f t="shared" si="4"/>
        <v>0</v>
      </c>
      <c r="C234" s="79"/>
      <c r="D234" s="80"/>
      <c r="E234" s="101"/>
      <c r="F234" s="81"/>
    </row>
    <row r="235" spans="1:6" x14ac:dyDescent="0.25">
      <c r="A235" s="77"/>
      <c r="B235" s="78">
        <f t="shared" si="4"/>
        <v>0</v>
      </c>
      <c r="C235" s="79"/>
      <c r="D235" s="80"/>
      <c r="E235" s="101"/>
      <c r="F235" s="81"/>
    </row>
    <row r="236" spans="1:6" x14ac:dyDescent="0.25">
      <c r="A236" s="77"/>
      <c r="B236" s="78">
        <f t="shared" si="4"/>
        <v>0</v>
      </c>
      <c r="C236" s="79"/>
      <c r="D236" s="80"/>
      <c r="E236" s="101"/>
      <c r="F236" s="81"/>
    </row>
    <row r="237" spans="1:6" x14ac:dyDescent="0.25">
      <c r="A237" s="77"/>
      <c r="B237" s="78">
        <f t="shared" si="4"/>
        <v>0</v>
      </c>
      <c r="C237" s="79"/>
      <c r="D237" s="80"/>
      <c r="E237" s="101"/>
      <c r="F237" s="81"/>
    </row>
    <row r="238" spans="1:6" x14ac:dyDescent="0.25">
      <c r="A238" s="77"/>
      <c r="B238" s="78">
        <f t="shared" si="4"/>
        <v>0</v>
      </c>
      <c r="C238" s="79"/>
      <c r="D238" s="80"/>
      <c r="E238" s="101"/>
      <c r="F238" s="81"/>
    </row>
    <row r="239" spans="1:6" x14ac:dyDescent="0.25">
      <c r="A239" s="77"/>
      <c r="B239" s="78">
        <f t="shared" si="4"/>
        <v>0</v>
      </c>
      <c r="C239" s="79"/>
      <c r="D239" s="80"/>
      <c r="E239" s="101"/>
      <c r="F239" s="81"/>
    </row>
    <row r="240" spans="1:6" x14ac:dyDescent="0.25">
      <c r="A240" s="77"/>
      <c r="B240" s="78">
        <f t="shared" si="4"/>
        <v>0</v>
      </c>
      <c r="C240" s="79"/>
      <c r="D240" s="80"/>
      <c r="E240" s="101"/>
      <c r="F240" s="81"/>
    </row>
    <row r="241" spans="1:6" x14ac:dyDescent="0.25">
      <c r="A241" s="77"/>
      <c r="B241" s="78">
        <f t="shared" si="4"/>
        <v>0</v>
      </c>
      <c r="C241" s="79"/>
      <c r="D241" s="80"/>
      <c r="E241" s="101"/>
      <c r="F241" s="81"/>
    </row>
    <row r="242" spans="1:6" x14ac:dyDescent="0.25">
      <c r="A242" s="77"/>
      <c r="B242" s="78">
        <f t="shared" si="4"/>
        <v>0</v>
      </c>
      <c r="C242" s="79"/>
      <c r="D242" s="80"/>
      <c r="E242" s="101"/>
      <c r="F242" s="81"/>
    </row>
    <row r="243" spans="1:6" x14ac:dyDescent="0.25">
      <c r="A243" s="77"/>
      <c r="B243" s="78">
        <f t="shared" si="4"/>
        <v>0</v>
      </c>
      <c r="C243" s="79"/>
      <c r="D243" s="80"/>
      <c r="E243" s="101"/>
      <c r="F243" s="81"/>
    </row>
    <row r="244" spans="1:6" x14ac:dyDescent="0.25">
      <c r="A244" s="77"/>
      <c r="B244" s="78">
        <f t="shared" si="4"/>
        <v>0</v>
      </c>
      <c r="C244" s="79"/>
      <c r="D244" s="80"/>
      <c r="E244" s="101"/>
      <c r="F244" s="81"/>
    </row>
    <row r="245" spans="1:6" x14ac:dyDescent="0.25">
      <c r="A245" s="77"/>
      <c r="B245" s="78">
        <f t="shared" si="4"/>
        <v>0</v>
      </c>
      <c r="C245" s="79"/>
      <c r="D245" s="80"/>
      <c r="E245" s="101"/>
      <c r="F245" s="81"/>
    </row>
    <row r="246" spans="1:6" x14ac:dyDescent="0.25">
      <c r="A246" s="77"/>
      <c r="B246" s="78">
        <f t="shared" si="4"/>
        <v>0</v>
      </c>
      <c r="C246" s="79"/>
      <c r="D246" s="80"/>
      <c r="E246" s="101"/>
      <c r="F246" s="81"/>
    </row>
    <row r="247" spans="1:6" x14ac:dyDescent="0.25">
      <c r="A247" s="77"/>
      <c r="B247" s="78">
        <f t="shared" si="4"/>
        <v>0</v>
      </c>
      <c r="C247" s="79"/>
      <c r="D247" s="80"/>
      <c r="E247" s="101"/>
      <c r="F247" s="81"/>
    </row>
    <row r="248" spans="1:6" x14ac:dyDescent="0.25">
      <c r="A248" s="77"/>
      <c r="B248" s="78">
        <f t="shared" si="4"/>
        <v>0</v>
      </c>
      <c r="C248" s="79"/>
      <c r="D248" s="80"/>
      <c r="E248" s="101"/>
      <c r="F248" s="81"/>
    </row>
    <row r="249" spans="1:6" x14ac:dyDescent="0.25">
      <c r="A249" s="77"/>
      <c r="B249" s="78">
        <f t="shared" si="4"/>
        <v>0</v>
      </c>
      <c r="C249" s="79"/>
      <c r="D249" s="80"/>
      <c r="E249" s="101"/>
      <c r="F249" s="81"/>
    </row>
    <row r="250" spans="1:6" x14ac:dyDescent="0.25">
      <c r="A250" s="77"/>
      <c r="B250" s="78">
        <f t="shared" si="4"/>
        <v>0</v>
      </c>
      <c r="C250" s="79"/>
      <c r="D250" s="80"/>
      <c r="E250" s="101"/>
      <c r="F250" s="81"/>
    </row>
    <row r="251" spans="1:6" x14ac:dyDescent="0.25">
      <c r="A251" s="77"/>
      <c r="B251" s="78">
        <f t="shared" si="4"/>
        <v>0</v>
      </c>
      <c r="C251" s="79"/>
      <c r="D251" s="80"/>
      <c r="E251" s="101"/>
      <c r="F251" s="81"/>
    </row>
    <row r="252" spans="1:6" x14ac:dyDescent="0.25">
      <c r="A252" s="77"/>
      <c r="B252" s="78">
        <f t="shared" si="4"/>
        <v>0</v>
      </c>
      <c r="C252" s="79"/>
      <c r="D252" s="80"/>
      <c r="E252" s="101"/>
      <c r="F252" s="81"/>
    </row>
    <row r="253" spans="1:6" x14ac:dyDescent="0.25">
      <c r="A253" s="77"/>
      <c r="B253" s="78">
        <f t="shared" si="4"/>
        <v>0</v>
      </c>
      <c r="C253" s="79"/>
      <c r="D253" s="80"/>
      <c r="E253" s="101"/>
      <c r="F253" s="81"/>
    </row>
    <row r="254" spans="1:6" x14ac:dyDescent="0.25">
      <c r="A254" s="77"/>
      <c r="B254" s="78">
        <f t="shared" si="4"/>
        <v>0</v>
      </c>
      <c r="C254" s="79"/>
      <c r="D254" s="80"/>
      <c r="E254" s="101"/>
      <c r="F254" s="81"/>
    </row>
    <row r="255" spans="1:6" x14ac:dyDescent="0.25">
      <c r="A255" s="77"/>
      <c r="B255" s="78">
        <f t="shared" si="4"/>
        <v>0</v>
      </c>
      <c r="C255" s="79"/>
      <c r="D255" s="80"/>
      <c r="E255" s="101"/>
      <c r="F255" s="81"/>
    </row>
    <row r="256" spans="1:6" x14ac:dyDescent="0.25">
      <c r="A256" s="77"/>
      <c r="B256" s="78">
        <f t="shared" si="4"/>
        <v>0</v>
      </c>
      <c r="C256" s="79"/>
      <c r="D256" s="80"/>
      <c r="E256" s="101"/>
      <c r="F256" s="81"/>
    </row>
    <row r="257" spans="1:6" x14ac:dyDescent="0.25">
      <c r="A257" s="77"/>
      <c r="B257" s="78">
        <f t="shared" si="4"/>
        <v>0</v>
      </c>
      <c r="C257" s="79"/>
      <c r="D257" s="80"/>
      <c r="E257" s="101"/>
      <c r="F257" s="81"/>
    </row>
    <row r="258" spans="1:6" x14ac:dyDescent="0.25">
      <c r="A258" s="77"/>
      <c r="B258" s="78">
        <f t="shared" si="4"/>
        <v>0</v>
      </c>
      <c r="C258" s="79"/>
      <c r="D258" s="80"/>
      <c r="E258" s="101"/>
      <c r="F258" s="81"/>
    </row>
    <row r="259" spans="1:6" x14ac:dyDescent="0.25">
      <c r="A259" s="77"/>
      <c r="B259" s="78">
        <f t="shared" si="4"/>
        <v>0</v>
      </c>
      <c r="C259" s="79"/>
      <c r="D259" s="80"/>
      <c r="E259" s="101"/>
      <c r="F259" s="81"/>
    </row>
    <row r="260" spans="1:6" x14ac:dyDescent="0.25">
      <c r="A260" s="77"/>
      <c r="B260" s="78">
        <f t="shared" si="4"/>
        <v>0</v>
      </c>
      <c r="C260" s="79"/>
      <c r="D260" s="80"/>
      <c r="E260" s="101"/>
      <c r="F260" s="81"/>
    </row>
    <row r="261" spans="1:6" x14ac:dyDescent="0.25">
      <c r="A261" s="77"/>
      <c r="B261" s="78">
        <f t="shared" si="4"/>
        <v>0</v>
      </c>
      <c r="C261" s="79"/>
      <c r="D261" s="80"/>
      <c r="E261" s="101"/>
      <c r="F261" s="81"/>
    </row>
    <row r="262" spans="1:6" x14ac:dyDescent="0.25">
      <c r="A262" s="77"/>
      <c r="B262" s="78">
        <f t="shared" si="4"/>
        <v>0</v>
      </c>
      <c r="C262" s="79"/>
      <c r="D262" s="80"/>
      <c r="E262" s="101"/>
      <c r="F262" s="81"/>
    </row>
    <row r="263" spans="1:6" x14ac:dyDescent="0.25">
      <c r="A263" s="77"/>
      <c r="B263" s="78">
        <f t="shared" si="4"/>
        <v>0</v>
      </c>
      <c r="C263" s="79"/>
      <c r="D263" s="80"/>
      <c r="E263" s="101"/>
      <c r="F263" s="81"/>
    </row>
    <row r="264" spans="1:6" x14ac:dyDescent="0.25">
      <c r="A264" s="77"/>
      <c r="B264" s="78">
        <f t="shared" si="4"/>
        <v>0</v>
      </c>
      <c r="C264" s="79"/>
      <c r="D264" s="80"/>
      <c r="E264" s="101"/>
      <c r="F264" s="81"/>
    </row>
    <row r="265" spans="1:6" x14ac:dyDescent="0.25">
      <c r="A265" s="77"/>
      <c r="B265" s="78">
        <f t="shared" si="4"/>
        <v>0</v>
      </c>
      <c r="C265" s="79"/>
      <c r="D265" s="80"/>
      <c r="E265" s="101"/>
      <c r="F265" s="81"/>
    </row>
    <row r="266" spans="1:6" x14ac:dyDescent="0.25">
      <c r="A266" s="77"/>
      <c r="B266" s="78">
        <f t="shared" si="4"/>
        <v>0</v>
      </c>
      <c r="C266" s="79"/>
      <c r="D266" s="80"/>
      <c r="E266" s="101"/>
      <c r="F266" s="81"/>
    </row>
    <row r="267" spans="1:6" x14ac:dyDescent="0.25">
      <c r="A267" s="77"/>
      <c r="B267" s="78">
        <f t="shared" si="4"/>
        <v>0</v>
      </c>
      <c r="C267" s="79"/>
      <c r="D267" s="80"/>
      <c r="E267" s="101"/>
      <c r="F267" s="81"/>
    </row>
    <row r="268" spans="1:6" x14ac:dyDescent="0.25">
      <c r="A268" s="77"/>
      <c r="B268" s="78">
        <f t="shared" si="4"/>
        <v>0</v>
      </c>
      <c r="C268" s="79"/>
      <c r="D268" s="80"/>
      <c r="E268" s="101"/>
      <c r="F268" s="81"/>
    </row>
    <row r="269" spans="1:6" x14ac:dyDescent="0.25">
      <c r="A269" s="77"/>
      <c r="B269" s="78">
        <f t="shared" si="4"/>
        <v>0</v>
      </c>
      <c r="C269" s="79"/>
      <c r="D269" s="80"/>
      <c r="E269" s="101"/>
      <c r="F269" s="81"/>
    </row>
    <row r="270" spans="1:6" x14ac:dyDescent="0.25">
      <c r="A270" s="77"/>
      <c r="B270" s="78">
        <f t="shared" si="4"/>
        <v>0</v>
      </c>
      <c r="C270" s="79"/>
      <c r="D270" s="80"/>
      <c r="E270" s="101"/>
      <c r="F270" s="81"/>
    </row>
    <row r="271" spans="1:6" x14ac:dyDescent="0.25">
      <c r="A271" s="77"/>
      <c r="B271" s="78">
        <f t="shared" si="4"/>
        <v>0</v>
      </c>
      <c r="C271" s="79"/>
      <c r="D271" s="80"/>
      <c r="E271" s="101"/>
      <c r="F271" s="81"/>
    </row>
    <row r="272" spans="1:6" x14ac:dyDescent="0.25">
      <c r="A272" s="77"/>
      <c r="B272" s="78">
        <f t="shared" si="4"/>
        <v>0</v>
      </c>
      <c r="C272" s="79"/>
      <c r="D272" s="80"/>
      <c r="E272" s="101"/>
      <c r="F272" s="81"/>
    </row>
    <row r="273" spans="1:6" x14ac:dyDescent="0.25">
      <c r="A273" s="77"/>
      <c r="B273" s="78">
        <f t="shared" si="4"/>
        <v>0</v>
      </c>
      <c r="C273" s="79"/>
      <c r="D273" s="80"/>
      <c r="E273" s="101"/>
      <c r="F273" s="81"/>
    </row>
    <row r="274" spans="1:6" x14ac:dyDescent="0.25">
      <c r="A274" s="77"/>
      <c r="B274" s="78">
        <f t="shared" si="4"/>
        <v>0</v>
      </c>
      <c r="C274" s="79"/>
      <c r="D274" s="80"/>
      <c r="E274" s="101"/>
      <c r="F274" s="81"/>
    </row>
    <row r="275" spans="1:6" x14ac:dyDescent="0.25">
      <c r="A275" s="77"/>
      <c r="B275" s="78">
        <f t="shared" ref="B275:B338" si="5">WEEKNUM(A275,1)</f>
        <v>0</v>
      </c>
      <c r="C275" s="79"/>
      <c r="D275" s="80"/>
      <c r="E275" s="101"/>
      <c r="F275" s="81"/>
    </row>
    <row r="276" spans="1:6" x14ac:dyDescent="0.25">
      <c r="A276" s="77"/>
      <c r="B276" s="78">
        <f t="shared" si="5"/>
        <v>0</v>
      </c>
      <c r="C276" s="79"/>
      <c r="D276" s="80"/>
      <c r="E276" s="101"/>
      <c r="F276" s="81"/>
    </row>
    <row r="277" spans="1:6" x14ac:dyDescent="0.25">
      <c r="A277" s="77"/>
      <c r="B277" s="78">
        <f t="shared" si="5"/>
        <v>0</v>
      </c>
      <c r="C277" s="79"/>
      <c r="D277" s="80"/>
      <c r="E277" s="101"/>
      <c r="F277" s="81"/>
    </row>
    <row r="278" spans="1:6" x14ac:dyDescent="0.25">
      <c r="A278" s="77"/>
      <c r="B278" s="78">
        <f t="shared" si="5"/>
        <v>0</v>
      </c>
      <c r="C278" s="79"/>
      <c r="D278" s="80"/>
      <c r="E278" s="101"/>
      <c r="F278" s="81"/>
    </row>
    <row r="279" spans="1:6" x14ac:dyDescent="0.25">
      <c r="A279" s="77"/>
      <c r="B279" s="78">
        <f t="shared" si="5"/>
        <v>0</v>
      </c>
      <c r="C279" s="79"/>
      <c r="D279" s="80"/>
      <c r="E279" s="101"/>
      <c r="F279" s="81"/>
    </row>
    <row r="280" spans="1:6" x14ac:dyDescent="0.25">
      <c r="A280" s="77"/>
      <c r="B280" s="78">
        <f t="shared" si="5"/>
        <v>0</v>
      </c>
      <c r="C280" s="79"/>
      <c r="D280" s="80"/>
      <c r="E280" s="101"/>
      <c r="F280" s="81"/>
    </row>
    <row r="281" spans="1:6" x14ac:dyDescent="0.25">
      <c r="A281" s="77"/>
      <c r="B281" s="78">
        <f t="shared" si="5"/>
        <v>0</v>
      </c>
      <c r="C281" s="79"/>
      <c r="D281" s="80"/>
      <c r="E281" s="101"/>
      <c r="F281" s="81"/>
    </row>
    <row r="282" spans="1:6" x14ac:dyDescent="0.25">
      <c r="A282" s="77"/>
      <c r="B282" s="78">
        <f t="shared" si="5"/>
        <v>0</v>
      </c>
      <c r="C282" s="79"/>
      <c r="D282" s="80"/>
      <c r="E282" s="101"/>
      <c r="F282" s="81"/>
    </row>
    <row r="283" spans="1:6" x14ac:dyDescent="0.25">
      <c r="A283" s="77"/>
      <c r="B283" s="78">
        <f t="shared" si="5"/>
        <v>0</v>
      </c>
      <c r="C283" s="79"/>
      <c r="D283" s="80"/>
      <c r="E283" s="101"/>
      <c r="F283" s="81"/>
    </row>
    <row r="284" spans="1:6" x14ac:dyDescent="0.25">
      <c r="A284" s="77"/>
      <c r="B284" s="78">
        <f t="shared" si="5"/>
        <v>0</v>
      </c>
      <c r="C284" s="79"/>
      <c r="D284" s="80"/>
      <c r="E284" s="101"/>
      <c r="F284" s="81"/>
    </row>
    <row r="285" spans="1:6" x14ac:dyDescent="0.25">
      <c r="A285" s="77"/>
      <c r="B285" s="78">
        <f t="shared" si="5"/>
        <v>0</v>
      </c>
      <c r="C285" s="79"/>
      <c r="D285" s="80"/>
      <c r="E285" s="101"/>
      <c r="F285" s="81"/>
    </row>
    <row r="286" spans="1:6" x14ac:dyDescent="0.25">
      <c r="A286" s="77"/>
      <c r="B286" s="78">
        <f t="shared" si="5"/>
        <v>0</v>
      </c>
      <c r="C286" s="79"/>
      <c r="D286" s="80"/>
      <c r="E286" s="101"/>
      <c r="F286" s="81"/>
    </row>
    <row r="287" spans="1:6" x14ac:dyDescent="0.25">
      <c r="A287" s="77"/>
      <c r="B287" s="78">
        <f t="shared" si="5"/>
        <v>0</v>
      </c>
      <c r="C287" s="79"/>
      <c r="D287" s="80"/>
      <c r="E287" s="101"/>
      <c r="F287" s="81"/>
    </row>
    <row r="288" spans="1:6" x14ac:dyDescent="0.25">
      <c r="A288" s="77"/>
      <c r="B288" s="78">
        <f t="shared" si="5"/>
        <v>0</v>
      </c>
      <c r="C288" s="79"/>
      <c r="D288" s="80"/>
      <c r="E288" s="101"/>
      <c r="F288" s="81"/>
    </row>
    <row r="289" spans="1:6" x14ac:dyDescent="0.25">
      <c r="A289" s="77"/>
      <c r="B289" s="78">
        <f t="shared" si="5"/>
        <v>0</v>
      </c>
      <c r="C289" s="79"/>
      <c r="D289" s="80"/>
      <c r="E289" s="101"/>
      <c r="F289" s="81"/>
    </row>
    <row r="290" spans="1:6" x14ac:dyDescent="0.25">
      <c r="A290" s="77"/>
      <c r="B290" s="78">
        <f t="shared" si="5"/>
        <v>0</v>
      </c>
      <c r="C290" s="79"/>
      <c r="D290" s="80"/>
      <c r="E290" s="101"/>
      <c r="F290" s="81"/>
    </row>
    <row r="291" spans="1:6" x14ac:dyDescent="0.25">
      <c r="A291" s="77"/>
      <c r="B291" s="78">
        <f t="shared" si="5"/>
        <v>0</v>
      </c>
      <c r="C291" s="79"/>
      <c r="D291" s="80"/>
      <c r="E291" s="101"/>
      <c r="F291" s="81"/>
    </row>
    <row r="292" spans="1:6" x14ac:dyDescent="0.25">
      <c r="A292" s="77"/>
      <c r="B292" s="78">
        <f t="shared" si="5"/>
        <v>0</v>
      </c>
      <c r="C292" s="79"/>
      <c r="D292" s="80"/>
      <c r="E292" s="101"/>
      <c r="F292" s="81"/>
    </row>
    <row r="293" spans="1:6" x14ac:dyDescent="0.25">
      <c r="A293" s="77"/>
      <c r="B293" s="78">
        <f t="shared" si="5"/>
        <v>0</v>
      </c>
      <c r="C293" s="79"/>
      <c r="D293" s="80"/>
      <c r="E293" s="101"/>
      <c r="F293" s="81"/>
    </row>
    <row r="294" spans="1:6" x14ac:dyDescent="0.25">
      <c r="A294" s="77"/>
      <c r="B294" s="78">
        <f t="shared" si="5"/>
        <v>0</v>
      </c>
      <c r="C294" s="79"/>
      <c r="D294" s="80"/>
      <c r="E294" s="101"/>
      <c r="F294" s="81"/>
    </row>
    <row r="295" spans="1:6" x14ac:dyDescent="0.25">
      <c r="A295" s="77"/>
      <c r="B295" s="78">
        <f t="shared" si="5"/>
        <v>0</v>
      </c>
      <c r="C295" s="79"/>
      <c r="D295" s="80"/>
      <c r="E295" s="101"/>
      <c r="F295" s="81"/>
    </row>
    <row r="296" spans="1:6" x14ac:dyDescent="0.25">
      <c r="A296" s="77"/>
      <c r="B296" s="78">
        <f t="shared" si="5"/>
        <v>0</v>
      </c>
      <c r="C296" s="79"/>
      <c r="D296" s="80"/>
      <c r="E296" s="101"/>
      <c r="F296" s="81"/>
    </row>
    <row r="297" spans="1:6" x14ac:dyDescent="0.25">
      <c r="A297" s="77"/>
      <c r="B297" s="78">
        <f t="shared" si="5"/>
        <v>0</v>
      </c>
      <c r="C297" s="79"/>
      <c r="D297" s="80"/>
      <c r="E297" s="101"/>
      <c r="F297" s="81"/>
    </row>
    <row r="298" spans="1:6" x14ac:dyDescent="0.25">
      <c r="A298" s="77"/>
      <c r="B298" s="78">
        <f t="shared" si="5"/>
        <v>0</v>
      </c>
      <c r="C298" s="79"/>
      <c r="D298" s="80"/>
      <c r="E298" s="101"/>
      <c r="F298" s="81"/>
    </row>
    <row r="299" spans="1:6" x14ac:dyDescent="0.25">
      <c r="A299" s="77"/>
      <c r="B299" s="78">
        <f t="shared" si="5"/>
        <v>0</v>
      </c>
      <c r="C299" s="79"/>
      <c r="D299" s="80"/>
      <c r="E299" s="101"/>
      <c r="F299" s="81"/>
    </row>
    <row r="300" spans="1:6" x14ac:dyDescent="0.25">
      <c r="A300" s="77"/>
      <c r="B300" s="78">
        <f t="shared" si="5"/>
        <v>0</v>
      </c>
      <c r="C300" s="79"/>
      <c r="D300" s="80"/>
      <c r="E300" s="101"/>
      <c r="F300" s="81"/>
    </row>
    <row r="301" spans="1:6" x14ac:dyDescent="0.25">
      <c r="A301" s="77"/>
      <c r="B301" s="78">
        <f t="shared" si="5"/>
        <v>0</v>
      </c>
      <c r="C301" s="79"/>
      <c r="D301" s="80"/>
      <c r="E301" s="101"/>
      <c r="F301" s="81"/>
    </row>
    <row r="302" spans="1:6" x14ac:dyDescent="0.25">
      <c r="A302" s="77"/>
      <c r="B302" s="78">
        <f t="shared" si="5"/>
        <v>0</v>
      </c>
      <c r="C302" s="79"/>
      <c r="D302" s="80"/>
      <c r="E302" s="101"/>
      <c r="F302" s="81"/>
    </row>
    <row r="303" spans="1:6" x14ac:dyDescent="0.25">
      <c r="A303" s="77"/>
      <c r="B303" s="78">
        <f t="shared" si="5"/>
        <v>0</v>
      </c>
      <c r="C303" s="79"/>
      <c r="D303" s="80"/>
      <c r="E303" s="101"/>
      <c r="F303" s="81"/>
    </row>
    <row r="304" spans="1:6" x14ac:dyDescent="0.25">
      <c r="A304" s="77"/>
      <c r="B304" s="78">
        <f t="shared" si="5"/>
        <v>0</v>
      </c>
      <c r="C304" s="79"/>
      <c r="D304" s="80"/>
      <c r="E304" s="101"/>
      <c r="F304" s="81"/>
    </row>
    <row r="305" spans="1:6" x14ac:dyDescent="0.25">
      <c r="A305" s="77"/>
      <c r="B305" s="78">
        <f t="shared" si="5"/>
        <v>0</v>
      </c>
      <c r="C305" s="79"/>
      <c r="D305" s="80"/>
      <c r="E305" s="101"/>
      <c r="F305" s="81"/>
    </row>
    <row r="306" spans="1:6" x14ac:dyDescent="0.25">
      <c r="A306" s="77"/>
      <c r="B306" s="78">
        <f t="shared" si="5"/>
        <v>0</v>
      </c>
      <c r="C306" s="79"/>
      <c r="D306" s="80"/>
      <c r="E306" s="101"/>
      <c r="F306" s="81"/>
    </row>
    <row r="307" spans="1:6" x14ac:dyDescent="0.25">
      <c r="A307" s="77"/>
      <c r="B307" s="78">
        <f t="shared" si="5"/>
        <v>0</v>
      </c>
      <c r="C307" s="79"/>
      <c r="D307" s="80"/>
      <c r="E307" s="101"/>
      <c r="F307" s="81"/>
    </row>
    <row r="308" spans="1:6" x14ac:dyDescent="0.25">
      <c r="A308" s="77"/>
      <c r="B308" s="78">
        <f t="shared" si="5"/>
        <v>0</v>
      </c>
      <c r="C308" s="79"/>
      <c r="D308" s="80"/>
      <c r="E308" s="101"/>
      <c r="F308" s="81"/>
    </row>
    <row r="309" spans="1:6" x14ac:dyDescent="0.25">
      <c r="A309" s="77"/>
      <c r="B309" s="78">
        <f t="shared" si="5"/>
        <v>0</v>
      </c>
      <c r="C309" s="79"/>
      <c r="D309" s="80"/>
      <c r="E309" s="101"/>
      <c r="F309" s="81"/>
    </row>
    <row r="310" spans="1:6" x14ac:dyDescent="0.25">
      <c r="A310" s="77"/>
      <c r="B310" s="78">
        <f t="shared" si="5"/>
        <v>0</v>
      </c>
      <c r="C310" s="79"/>
      <c r="D310" s="80"/>
      <c r="E310" s="101"/>
      <c r="F310" s="81"/>
    </row>
    <row r="311" spans="1:6" x14ac:dyDescent="0.25">
      <c r="A311" s="77"/>
      <c r="B311" s="78">
        <f t="shared" si="5"/>
        <v>0</v>
      </c>
      <c r="C311" s="79"/>
      <c r="D311" s="80"/>
      <c r="E311" s="101"/>
      <c r="F311" s="81"/>
    </row>
    <row r="312" spans="1:6" x14ac:dyDescent="0.25">
      <c r="A312" s="77"/>
      <c r="B312" s="78">
        <f t="shared" si="5"/>
        <v>0</v>
      </c>
      <c r="C312" s="79"/>
      <c r="D312" s="80"/>
      <c r="E312" s="101"/>
      <c r="F312" s="81"/>
    </row>
    <row r="313" spans="1:6" x14ac:dyDescent="0.25">
      <c r="A313" s="77"/>
      <c r="B313" s="78">
        <f t="shared" si="5"/>
        <v>0</v>
      </c>
      <c r="C313" s="79"/>
      <c r="D313" s="80"/>
      <c r="E313" s="101"/>
      <c r="F313" s="81"/>
    </row>
    <row r="314" spans="1:6" x14ac:dyDescent="0.25">
      <c r="A314" s="77"/>
      <c r="B314" s="78">
        <f t="shared" si="5"/>
        <v>0</v>
      </c>
      <c r="C314" s="79"/>
      <c r="D314" s="80"/>
      <c r="E314" s="101"/>
      <c r="F314" s="81"/>
    </row>
    <row r="315" spans="1:6" x14ac:dyDescent="0.25">
      <c r="A315" s="77"/>
      <c r="B315" s="78">
        <f t="shared" si="5"/>
        <v>0</v>
      </c>
      <c r="C315" s="79"/>
      <c r="D315" s="80"/>
      <c r="E315" s="101"/>
      <c r="F315" s="81"/>
    </row>
    <row r="316" spans="1:6" x14ac:dyDescent="0.25">
      <c r="A316" s="77"/>
      <c r="B316" s="78">
        <f t="shared" si="5"/>
        <v>0</v>
      </c>
      <c r="C316" s="79"/>
      <c r="D316" s="80"/>
      <c r="E316" s="101"/>
      <c r="F316" s="81"/>
    </row>
    <row r="317" spans="1:6" x14ac:dyDescent="0.25">
      <c r="A317" s="77"/>
      <c r="B317" s="78">
        <f t="shared" si="5"/>
        <v>0</v>
      </c>
      <c r="C317" s="79"/>
      <c r="D317" s="80"/>
      <c r="E317" s="101"/>
      <c r="F317" s="81"/>
    </row>
    <row r="318" spans="1:6" x14ac:dyDescent="0.25">
      <c r="A318" s="77"/>
      <c r="B318" s="78">
        <f t="shared" si="5"/>
        <v>0</v>
      </c>
      <c r="C318" s="79"/>
      <c r="D318" s="80"/>
      <c r="E318" s="101"/>
      <c r="F318" s="81"/>
    </row>
    <row r="319" spans="1:6" x14ac:dyDescent="0.25">
      <c r="A319" s="77"/>
      <c r="B319" s="78">
        <f t="shared" si="5"/>
        <v>0</v>
      </c>
      <c r="C319" s="79"/>
      <c r="D319" s="80"/>
      <c r="E319" s="101"/>
      <c r="F319" s="81"/>
    </row>
    <row r="320" spans="1:6" x14ac:dyDescent="0.25">
      <c r="A320" s="77"/>
      <c r="B320" s="78">
        <f t="shared" si="5"/>
        <v>0</v>
      </c>
      <c r="C320" s="79"/>
      <c r="D320" s="80"/>
      <c r="E320" s="101"/>
      <c r="F320" s="81"/>
    </row>
    <row r="321" spans="1:6" x14ac:dyDescent="0.25">
      <c r="A321" s="77"/>
      <c r="B321" s="78">
        <f t="shared" si="5"/>
        <v>0</v>
      </c>
      <c r="C321" s="79"/>
      <c r="D321" s="80"/>
      <c r="E321" s="101"/>
      <c r="F321" s="81"/>
    </row>
    <row r="322" spans="1:6" x14ac:dyDescent="0.25">
      <c r="A322" s="77"/>
      <c r="B322" s="78">
        <f t="shared" si="5"/>
        <v>0</v>
      </c>
      <c r="C322" s="79"/>
      <c r="D322" s="80"/>
      <c r="E322" s="101"/>
      <c r="F322" s="81"/>
    </row>
    <row r="323" spans="1:6" x14ac:dyDescent="0.25">
      <c r="A323" s="77"/>
      <c r="B323" s="78">
        <f t="shared" si="5"/>
        <v>0</v>
      </c>
      <c r="C323" s="79"/>
      <c r="D323" s="80"/>
      <c r="E323" s="101"/>
      <c r="F323" s="81"/>
    </row>
    <row r="324" spans="1:6" x14ac:dyDescent="0.25">
      <c r="A324" s="77"/>
      <c r="B324" s="78">
        <f t="shared" si="5"/>
        <v>0</v>
      </c>
      <c r="C324" s="79"/>
      <c r="D324" s="80"/>
      <c r="E324" s="101"/>
      <c r="F324" s="81"/>
    </row>
    <row r="325" spans="1:6" x14ac:dyDescent="0.25">
      <c r="A325" s="77"/>
      <c r="B325" s="78">
        <f t="shared" si="5"/>
        <v>0</v>
      </c>
      <c r="C325" s="79"/>
      <c r="D325" s="80"/>
      <c r="E325" s="101"/>
      <c r="F325" s="81"/>
    </row>
    <row r="326" spans="1:6" x14ac:dyDescent="0.25">
      <c r="A326" s="77"/>
      <c r="B326" s="78">
        <f t="shared" si="5"/>
        <v>0</v>
      </c>
      <c r="C326" s="79"/>
      <c r="D326" s="80"/>
      <c r="E326" s="101"/>
      <c r="F326" s="81"/>
    </row>
    <row r="327" spans="1:6" x14ac:dyDescent="0.25">
      <c r="A327" s="77"/>
      <c r="B327" s="78">
        <f t="shared" si="5"/>
        <v>0</v>
      </c>
      <c r="C327" s="79"/>
      <c r="D327" s="80"/>
      <c r="E327" s="101"/>
      <c r="F327" s="81"/>
    </row>
    <row r="328" spans="1:6" x14ac:dyDescent="0.25">
      <c r="A328" s="77"/>
      <c r="B328" s="78">
        <f t="shared" si="5"/>
        <v>0</v>
      </c>
      <c r="C328" s="79"/>
      <c r="D328" s="80"/>
      <c r="E328" s="101"/>
      <c r="F328" s="81"/>
    </row>
    <row r="329" spans="1:6" x14ac:dyDescent="0.25">
      <c r="A329" s="77"/>
      <c r="B329" s="78">
        <f t="shared" si="5"/>
        <v>0</v>
      </c>
      <c r="C329" s="79"/>
      <c r="D329" s="80"/>
      <c r="E329" s="101"/>
      <c r="F329" s="81"/>
    </row>
    <row r="330" spans="1:6" x14ac:dyDescent="0.25">
      <c r="A330" s="77"/>
      <c r="B330" s="78">
        <f t="shared" si="5"/>
        <v>0</v>
      </c>
      <c r="C330" s="79"/>
      <c r="D330" s="80"/>
      <c r="E330" s="101"/>
      <c r="F330" s="81"/>
    </row>
    <row r="331" spans="1:6" x14ac:dyDescent="0.25">
      <c r="A331" s="77"/>
      <c r="B331" s="78">
        <f t="shared" si="5"/>
        <v>0</v>
      </c>
      <c r="C331" s="79"/>
      <c r="D331" s="80"/>
      <c r="E331" s="101"/>
      <c r="F331" s="81"/>
    </row>
    <row r="332" spans="1:6" x14ac:dyDescent="0.25">
      <c r="A332" s="77"/>
      <c r="B332" s="78">
        <f t="shared" si="5"/>
        <v>0</v>
      </c>
      <c r="C332" s="79"/>
      <c r="D332" s="80"/>
      <c r="E332" s="101"/>
      <c r="F332" s="81"/>
    </row>
    <row r="333" spans="1:6" x14ac:dyDescent="0.25">
      <c r="A333" s="77"/>
      <c r="B333" s="78">
        <f t="shared" si="5"/>
        <v>0</v>
      </c>
      <c r="C333" s="79"/>
      <c r="D333" s="80"/>
      <c r="E333" s="101"/>
      <c r="F333" s="81"/>
    </row>
    <row r="334" spans="1:6" x14ac:dyDescent="0.25">
      <c r="A334" s="77"/>
      <c r="B334" s="78">
        <f t="shared" si="5"/>
        <v>0</v>
      </c>
      <c r="C334" s="79"/>
      <c r="D334" s="80"/>
      <c r="E334" s="101"/>
      <c r="F334" s="81"/>
    </row>
    <row r="335" spans="1:6" x14ac:dyDescent="0.25">
      <c r="A335" s="77"/>
      <c r="B335" s="78">
        <f t="shared" si="5"/>
        <v>0</v>
      </c>
      <c r="C335" s="79"/>
      <c r="D335" s="80"/>
      <c r="E335" s="101"/>
      <c r="F335" s="81"/>
    </row>
    <row r="336" spans="1:6" x14ac:dyDescent="0.25">
      <c r="A336" s="77"/>
      <c r="B336" s="78">
        <f t="shared" si="5"/>
        <v>0</v>
      </c>
      <c r="C336" s="79"/>
      <c r="D336" s="80"/>
      <c r="E336" s="101"/>
      <c r="F336" s="81"/>
    </row>
    <row r="337" spans="1:6" x14ac:dyDescent="0.25">
      <c r="A337" s="77"/>
      <c r="B337" s="78">
        <f t="shared" si="5"/>
        <v>0</v>
      </c>
      <c r="C337" s="79"/>
      <c r="D337" s="80"/>
      <c r="E337" s="101"/>
      <c r="F337" s="81"/>
    </row>
    <row r="338" spans="1:6" x14ac:dyDescent="0.25">
      <c r="A338" s="77"/>
      <c r="B338" s="78">
        <f t="shared" si="5"/>
        <v>0</v>
      </c>
      <c r="C338" s="79"/>
      <c r="D338" s="80"/>
      <c r="E338" s="101"/>
      <c r="F338" s="81"/>
    </row>
    <row r="339" spans="1:6" x14ac:dyDescent="0.25">
      <c r="A339" s="77"/>
      <c r="B339" s="78">
        <f t="shared" ref="B339:B402" si="6">WEEKNUM(A339,1)</f>
        <v>0</v>
      </c>
      <c r="C339" s="79"/>
      <c r="D339" s="80"/>
      <c r="E339" s="101"/>
      <c r="F339" s="81"/>
    </row>
    <row r="340" spans="1:6" x14ac:dyDescent="0.25">
      <c r="A340" s="77"/>
      <c r="B340" s="78">
        <f t="shared" si="6"/>
        <v>0</v>
      </c>
      <c r="C340" s="79"/>
      <c r="D340" s="80"/>
      <c r="E340" s="101"/>
      <c r="F340" s="81"/>
    </row>
    <row r="341" spans="1:6" x14ac:dyDescent="0.25">
      <c r="A341" s="77"/>
      <c r="B341" s="78">
        <f t="shared" si="6"/>
        <v>0</v>
      </c>
      <c r="C341" s="79"/>
      <c r="D341" s="80"/>
      <c r="E341" s="101"/>
      <c r="F341" s="81"/>
    </row>
    <row r="342" spans="1:6" x14ac:dyDescent="0.25">
      <c r="A342" s="77"/>
      <c r="B342" s="78">
        <f t="shared" si="6"/>
        <v>0</v>
      </c>
      <c r="C342" s="79"/>
      <c r="D342" s="80"/>
      <c r="E342" s="101"/>
      <c r="F342" s="81"/>
    </row>
    <row r="343" spans="1:6" x14ac:dyDescent="0.25">
      <c r="A343" s="77"/>
      <c r="B343" s="78">
        <f t="shared" si="6"/>
        <v>0</v>
      </c>
      <c r="C343" s="79"/>
      <c r="D343" s="80"/>
      <c r="E343" s="101"/>
      <c r="F343" s="81"/>
    </row>
    <row r="344" spans="1:6" x14ac:dyDescent="0.25">
      <c r="A344" s="77"/>
      <c r="B344" s="78">
        <f t="shared" si="6"/>
        <v>0</v>
      </c>
      <c r="C344" s="79"/>
      <c r="D344" s="80"/>
      <c r="E344" s="101"/>
      <c r="F344" s="81"/>
    </row>
    <row r="345" spans="1:6" x14ac:dyDescent="0.25">
      <c r="A345" s="77"/>
      <c r="B345" s="78">
        <f t="shared" si="6"/>
        <v>0</v>
      </c>
      <c r="C345" s="79"/>
      <c r="D345" s="80"/>
      <c r="E345" s="101"/>
      <c r="F345" s="81"/>
    </row>
    <row r="346" spans="1:6" x14ac:dyDescent="0.25">
      <c r="A346" s="77"/>
      <c r="B346" s="78">
        <f t="shared" si="6"/>
        <v>0</v>
      </c>
      <c r="C346" s="79"/>
      <c r="D346" s="80"/>
      <c r="E346" s="101"/>
      <c r="F346" s="81"/>
    </row>
    <row r="347" spans="1:6" x14ac:dyDescent="0.25">
      <c r="A347" s="77"/>
      <c r="B347" s="78">
        <f t="shared" si="6"/>
        <v>0</v>
      </c>
      <c r="C347" s="79"/>
      <c r="D347" s="80"/>
      <c r="E347" s="101"/>
      <c r="F347" s="81"/>
    </row>
    <row r="348" spans="1:6" x14ac:dyDescent="0.25">
      <c r="A348" s="77"/>
      <c r="B348" s="78">
        <f t="shared" si="6"/>
        <v>0</v>
      </c>
      <c r="C348" s="79"/>
      <c r="D348" s="80"/>
      <c r="E348" s="101"/>
      <c r="F348" s="81"/>
    </row>
    <row r="349" spans="1:6" x14ac:dyDescent="0.25">
      <c r="A349" s="77"/>
      <c r="B349" s="78">
        <f t="shared" si="6"/>
        <v>0</v>
      </c>
      <c r="C349" s="79"/>
      <c r="D349" s="80"/>
      <c r="E349" s="101"/>
      <c r="F349" s="81"/>
    </row>
    <row r="350" spans="1:6" x14ac:dyDescent="0.25">
      <c r="A350" s="77"/>
      <c r="B350" s="78">
        <f t="shared" si="6"/>
        <v>0</v>
      </c>
      <c r="C350" s="79"/>
      <c r="D350" s="80"/>
      <c r="E350" s="101"/>
      <c r="F350" s="81"/>
    </row>
    <row r="351" spans="1:6" x14ac:dyDescent="0.25">
      <c r="A351" s="77"/>
      <c r="B351" s="78">
        <f t="shared" si="6"/>
        <v>0</v>
      </c>
      <c r="C351" s="79"/>
      <c r="D351" s="80"/>
      <c r="E351" s="101"/>
      <c r="F351" s="81"/>
    </row>
    <row r="352" spans="1:6" x14ac:dyDescent="0.25">
      <c r="A352" s="77"/>
      <c r="B352" s="78">
        <f t="shared" si="6"/>
        <v>0</v>
      </c>
      <c r="C352" s="79"/>
      <c r="D352" s="80"/>
      <c r="E352" s="101"/>
      <c r="F352" s="81"/>
    </row>
    <row r="353" spans="1:6" x14ac:dyDescent="0.25">
      <c r="A353" s="77"/>
      <c r="B353" s="78">
        <f t="shared" si="6"/>
        <v>0</v>
      </c>
      <c r="C353" s="79"/>
      <c r="D353" s="80"/>
      <c r="E353" s="101"/>
      <c r="F353" s="81"/>
    </row>
    <row r="354" spans="1:6" x14ac:dyDescent="0.25">
      <c r="A354" s="77"/>
      <c r="B354" s="78">
        <f t="shared" si="6"/>
        <v>0</v>
      </c>
      <c r="C354" s="79"/>
      <c r="D354" s="80"/>
      <c r="E354" s="101"/>
      <c r="F354" s="81"/>
    </row>
    <row r="355" spans="1:6" x14ac:dyDescent="0.25">
      <c r="A355" s="77"/>
      <c r="B355" s="78">
        <f t="shared" si="6"/>
        <v>0</v>
      </c>
      <c r="C355" s="79"/>
      <c r="D355" s="80"/>
      <c r="E355" s="101"/>
      <c r="F355" s="81"/>
    </row>
    <row r="356" spans="1:6" x14ac:dyDescent="0.25">
      <c r="A356" s="77"/>
      <c r="B356" s="78">
        <f t="shared" si="6"/>
        <v>0</v>
      </c>
      <c r="C356" s="79"/>
      <c r="D356" s="80"/>
      <c r="E356" s="101"/>
      <c r="F356" s="81"/>
    </row>
    <row r="357" spans="1:6" x14ac:dyDescent="0.25">
      <c r="A357" s="77"/>
      <c r="B357" s="78">
        <f t="shared" si="6"/>
        <v>0</v>
      </c>
      <c r="C357" s="79"/>
      <c r="D357" s="80"/>
      <c r="E357" s="101"/>
      <c r="F357" s="81"/>
    </row>
    <row r="358" spans="1:6" x14ac:dyDescent="0.25">
      <c r="A358" s="77"/>
      <c r="B358" s="78">
        <f t="shared" si="6"/>
        <v>0</v>
      </c>
      <c r="C358" s="79"/>
      <c r="D358" s="80"/>
      <c r="E358" s="101"/>
      <c r="F358" s="81"/>
    </row>
    <row r="359" spans="1:6" x14ac:dyDescent="0.25">
      <c r="A359" s="77"/>
      <c r="B359" s="78">
        <f t="shared" si="6"/>
        <v>0</v>
      </c>
      <c r="C359" s="79"/>
      <c r="D359" s="80"/>
      <c r="E359" s="101"/>
      <c r="F359" s="81"/>
    </row>
    <row r="360" spans="1:6" x14ac:dyDescent="0.25">
      <c r="A360" s="77"/>
      <c r="B360" s="78">
        <f t="shared" si="6"/>
        <v>0</v>
      </c>
      <c r="C360" s="79"/>
      <c r="D360" s="80"/>
      <c r="E360" s="101"/>
      <c r="F360" s="81"/>
    </row>
    <row r="361" spans="1:6" x14ac:dyDescent="0.25">
      <c r="A361" s="77"/>
      <c r="B361" s="78">
        <f t="shared" si="6"/>
        <v>0</v>
      </c>
      <c r="C361" s="79"/>
      <c r="D361" s="80"/>
      <c r="E361" s="101"/>
      <c r="F361" s="81"/>
    </row>
    <row r="362" spans="1:6" x14ac:dyDescent="0.25">
      <c r="A362" s="77"/>
      <c r="B362" s="78">
        <f t="shared" si="6"/>
        <v>0</v>
      </c>
      <c r="C362" s="79"/>
      <c r="D362" s="80"/>
      <c r="E362" s="101"/>
      <c r="F362" s="81"/>
    </row>
    <row r="363" spans="1:6" x14ac:dyDescent="0.25">
      <c r="A363" s="77"/>
      <c r="B363" s="78">
        <f t="shared" si="6"/>
        <v>0</v>
      </c>
      <c r="C363" s="79"/>
      <c r="D363" s="80"/>
      <c r="E363" s="101"/>
      <c r="F363" s="81"/>
    </row>
    <row r="364" spans="1:6" x14ac:dyDescent="0.25">
      <c r="A364" s="77"/>
      <c r="B364" s="78">
        <f t="shared" si="6"/>
        <v>0</v>
      </c>
      <c r="C364" s="79"/>
      <c r="D364" s="80"/>
      <c r="E364" s="101"/>
      <c r="F364" s="81"/>
    </row>
    <row r="365" spans="1:6" x14ac:dyDescent="0.25">
      <c r="A365" s="77"/>
      <c r="B365" s="78">
        <f t="shared" si="6"/>
        <v>0</v>
      </c>
      <c r="C365" s="79"/>
      <c r="D365" s="80"/>
      <c r="E365" s="101"/>
      <c r="F365" s="81"/>
    </row>
    <row r="366" spans="1:6" x14ac:dyDescent="0.25">
      <c r="A366" s="77"/>
      <c r="B366" s="78">
        <f t="shared" si="6"/>
        <v>0</v>
      </c>
      <c r="C366" s="79"/>
      <c r="D366" s="80"/>
      <c r="E366" s="101"/>
      <c r="F366" s="81"/>
    </row>
    <row r="367" spans="1:6" x14ac:dyDescent="0.25">
      <c r="A367" s="77"/>
      <c r="B367" s="78">
        <f t="shared" si="6"/>
        <v>0</v>
      </c>
      <c r="C367" s="79"/>
      <c r="D367" s="80"/>
      <c r="E367" s="101"/>
      <c r="F367" s="81"/>
    </row>
    <row r="368" spans="1:6" x14ac:dyDescent="0.25">
      <c r="A368" s="77"/>
      <c r="B368" s="78">
        <f t="shared" si="6"/>
        <v>0</v>
      </c>
      <c r="C368" s="79"/>
      <c r="D368" s="80"/>
      <c r="E368" s="101"/>
      <c r="F368" s="81"/>
    </row>
    <row r="369" spans="1:6" x14ac:dyDescent="0.25">
      <c r="A369" s="77"/>
      <c r="B369" s="78">
        <f t="shared" si="6"/>
        <v>0</v>
      </c>
      <c r="C369" s="79"/>
      <c r="D369" s="80"/>
      <c r="E369" s="101"/>
      <c r="F369" s="81"/>
    </row>
    <row r="370" spans="1:6" x14ac:dyDescent="0.25">
      <c r="A370" s="77"/>
      <c r="B370" s="78">
        <f t="shared" si="6"/>
        <v>0</v>
      </c>
      <c r="C370" s="79"/>
      <c r="D370" s="80"/>
      <c r="E370" s="101"/>
      <c r="F370" s="81"/>
    </row>
    <row r="371" spans="1:6" x14ac:dyDescent="0.25">
      <c r="A371" s="77"/>
      <c r="B371" s="78">
        <f t="shared" si="6"/>
        <v>0</v>
      </c>
      <c r="C371" s="79"/>
      <c r="D371" s="80"/>
      <c r="E371" s="101"/>
      <c r="F371" s="81"/>
    </row>
    <row r="372" spans="1:6" x14ac:dyDescent="0.25">
      <c r="A372" s="77"/>
      <c r="B372" s="78">
        <f t="shared" si="6"/>
        <v>0</v>
      </c>
      <c r="C372" s="79"/>
      <c r="D372" s="80"/>
      <c r="E372" s="101"/>
      <c r="F372" s="81"/>
    </row>
    <row r="373" spans="1:6" x14ac:dyDescent="0.25">
      <c r="A373" s="77"/>
      <c r="B373" s="78">
        <f t="shared" si="6"/>
        <v>0</v>
      </c>
      <c r="C373" s="79"/>
      <c r="D373" s="80"/>
      <c r="E373" s="101"/>
      <c r="F373" s="81"/>
    </row>
    <row r="374" spans="1:6" x14ac:dyDescent="0.25">
      <c r="A374" s="77"/>
      <c r="B374" s="78">
        <f t="shared" si="6"/>
        <v>0</v>
      </c>
      <c r="C374" s="79"/>
      <c r="D374" s="80"/>
      <c r="E374" s="101"/>
      <c r="F374" s="81"/>
    </row>
    <row r="375" spans="1:6" x14ac:dyDescent="0.25">
      <c r="A375" s="77"/>
      <c r="B375" s="78">
        <f t="shared" si="6"/>
        <v>0</v>
      </c>
      <c r="C375" s="79"/>
      <c r="D375" s="80"/>
      <c r="E375" s="101"/>
      <c r="F375" s="81"/>
    </row>
    <row r="376" spans="1:6" x14ac:dyDescent="0.25">
      <c r="A376" s="77"/>
      <c r="B376" s="78">
        <f t="shared" si="6"/>
        <v>0</v>
      </c>
      <c r="C376" s="79"/>
      <c r="D376" s="80"/>
      <c r="E376" s="101"/>
      <c r="F376" s="81"/>
    </row>
    <row r="377" spans="1:6" x14ac:dyDescent="0.25">
      <c r="A377" s="77"/>
      <c r="B377" s="78">
        <f t="shared" si="6"/>
        <v>0</v>
      </c>
      <c r="C377" s="79"/>
      <c r="D377" s="80"/>
      <c r="E377" s="101"/>
      <c r="F377" s="81"/>
    </row>
    <row r="378" spans="1:6" x14ac:dyDescent="0.25">
      <c r="A378" s="77"/>
      <c r="B378" s="78">
        <f t="shared" si="6"/>
        <v>0</v>
      </c>
      <c r="C378" s="79"/>
      <c r="D378" s="80"/>
      <c r="E378" s="101"/>
      <c r="F378" s="81"/>
    </row>
    <row r="379" spans="1:6" x14ac:dyDescent="0.25">
      <c r="A379" s="77"/>
      <c r="B379" s="78">
        <f t="shared" si="6"/>
        <v>0</v>
      </c>
      <c r="C379" s="79"/>
      <c r="D379" s="80"/>
      <c r="E379" s="101"/>
      <c r="F379" s="81"/>
    </row>
    <row r="380" spans="1:6" x14ac:dyDescent="0.25">
      <c r="A380" s="77"/>
      <c r="B380" s="78">
        <f t="shared" si="6"/>
        <v>0</v>
      </c>
      <c r="C380" s="79"/>
      <c r="D380" s="80"/>
      <c r="E380" s="101"/>
      <c r="F380" s="81"/>
    </row>
    <row r="381" spans="1:6" x14ac:dyDescent="0.25">
      <c r="A381" s="77"/>
      <c r="B381" s="78">
        <f t="shared" si="6"/>
        <v>0</v>
      </c>
      <c r="C381" s="79"/>
      <c r="D381" s="80"/>
      <c r="E381" s="101"/>
      <c r="F381" s="81"/>
    </row>
    <row r="382" spans="1:6" x14ac:dyDescent="0.25">
      <c r="A382" s="77"/>
      <c r="B382" s="78">
        <f t="shared" si="6"/>
        <v>0</v>
      </c>
      <c r="C382" s="79"/>
      <c r="D382" s="80"/>
      <c r="E382" s="101"/>
      <c r="F382" s="81"/>
    </row>
    <row r="383" spans="1:6" x14ac:dyDescent="0.25">
      <c r="A383" s="77"/>
      <c r="B383" s="78">
        <f t="shared" si="6"/>
        <v>0</v>
      </c>
      <c r="C383" s="79"/>
      <c r="D383" s="80"/>
      <c r="E383" s="101"/>
      <c r="F383" s="81"/>
    </row>
    <row r="384" spans="1:6" x14ac:dyDescent="0.25">
      <c r="A384" s="77"/>
      <c r="B384" s="78">
        <f t="shared" si="6"/>
        <v>0</v>
      </c>
      <c r="C384" s="79"/>
      <c r="D384" s="80"/>
      <c r="E384" s="101"/>
      <c r="F384" s="81"/>
    </row>
    <row r="385" spans="1:6" x14ac:dyDescent="0.25">
      <c r="A385" s="77"/>
      <c r="B385" s="78">
        <f t="shared" si="6"/>
        <v>0</v>
      </c>
      <c r="C385" s="79"/>
      <c r="D385" s="80"/>
      <c r="E385" s="101"/>
      <c r="F385" s="81"/>
    </row>
    <row r="386" spans="1:6" x14ac:dyDescent="0.25">
      <c r="A386" s="77"/>
      <c r="B386" s="78">
        <f t="shared" si="6"/>
        <v>0</v>
      </c>
      <c r="C386" s="79"/>
      <c r="D386" s="80"/>
      <c r="E386" s="101"/>
      <c r="F386" s="81"/>
    </row>
    <row r="387" spans="1:6" x14ac:dyDescent="0.25">
      <c r="A387" s="77"/>
      <c r="B387" s="78">
        <f t="shared" si="6"/>
        <v>0</v>
      </c>
      <c r="C387" s="79"/>
      <c r="D387" s="80"/>
      <c r="E387" s="101"/>
      <c r="F387" s="81"/>
    </row>
    <row r="388" spans="1:6" x14ac:dyDescent="0.25">
      <c r="A388" s="77"/>
      <c r="B388" s="78">
        <f t="shared" si="6"/>
        <v>0</v>
      </c>
      <c r="C388" s="79"/>
      <c r="D388" s="80"/>
      <c r="E388" s="101"/>
      <c r="F388" s="81"/>
    </row>
    <row r="389" spans="1:6" x14ac:dyDescent="0.25">
      <c r="A389" s="77"/>
      <c r="B389" s="78">
        <f t="shared" si="6"/>
        <v>0</v>
      </c>
      <c r="C389" s="79"/>
      <c r="D389" s="80"/>
      <c r="E389" s="101"/>
      <c r="F389" s="81"/>
    </row>
    <row r="390" spans="1:6" x14ac:dyDescent="0.25">
      <c r="A390" s="77"/>
      <c r="B390" s="78">
        <f t="shared" si="6"/>
        <v>0</v>
      </c>
      <c r="C390" s="79"/>
      <c r="D390" s="80"/>
      <c r="E390" s="101"/>
      <c r="F390" s="81"/>
    </row>
    <row r="391" spans="1:6" x14ac:dyDescent="0.25">
      <c r="A391" s="77"/>
      <c r="B391" s="78">
        <f t="shared" si="6"/>
        <v>0</v>
      </c>
      <c r="C391" s="79"/>
      <c r="D391" s="80"/>
      <c r="E391" s="101"/>
      <c r="F391" s="81"/>
    </row>
    <row r="392" spans="1:6" x14ac:dyDescent="0.25">
      <c r="A392" s="77"/>
      <c r="B392" s="78">
        <f t="shared" si="6"/>
        <v>0</v>
      </c>
      <c r="C392" s="79"/>
      <c r="D392" s="80"/>
      <c r="E392" s="101"/>
      <c r="F392" s="81"/>
    </row>
    <row r="393" spans="1:6" x14ac:dyDescent="0.25">
      <c r="A393" s="77"/>
      <c r="B393" s="78">
        <f t="shared" si="6"/>
        <v>0</v>
      </c>
      <c r="C393" s="79"/>
      <c r="D393" s="80"/>
      <c r="E393" s="101"/>
      <c r="F393" s="81"/>
    </row>
    <row r="394" spans="1:6" x14ac:dyDescent="0.25">
      <c r="A394" s="77"/>
      <c r="B394" s="78">
        <f t="shared" si="6"/>
        <v>0</v>
      </c>
      <c r="C394" s="79"/>
      <c r="D394" s="80"/>
      <c r="E394" s="101"/>
      <c r="F394" s="81"/>
    </row>
    <row r="395" spans="1:6" x14ac:dyDescent="0.25">
      <c r="A395" s="77"/>
      <c r="B395" s="78">
        <f t="shared" si="6"/>
        <v>0</v>
      </c>
      <c r="C395" s="79"/>
      <c r="D395" s="80"/>
      <c r="E395" s="101"/>
      <c r="F395" s="81"/>
    </row>
    <row r="396" spans="1:6" x14ac:dyDescent="0.25">
      <c r="A396" s="77"/>
      <c r="B396" s="78">
        <f t="shared" si="6"/>
        <v>0</v>
      </c>
      <c r="C396" s="79"/>
      <c r="D396" s="80"/>
      <c r="E396" s="101"/>
      <c r="F396" s="81"/>
    </row>
    <row r="397" spans="1:6" x14ac:dyDescent="0.25">
      <c r="A397" s="77"/>
      <c r="B397" s="78">
        <f t="shared" si="6"/>
        <v>0</v>
      </c>
      <c r="C397" s="79"/>
      <c r="D397" s="80"/>
      <c r="E397" s="101"/>
      <c r="F397" s="81"/>
    </row>
    <row r="398" spans="1:6" x14ac:dyDescent="0.25">
      <c r="A398" s="77"/>
      <c r="B398" s="78">
        <f t="shared" si="6"/>
        <v>0</v>
      </c>
      <c r="C398" s="79"/>
      <c r="D398" s="80"/>
      <c r="E398" s="101"/>
      <c r="F398" s="81"/>
    </row>
    <row r="399" spans="1:6" x14ac:dyDescent="0.25">
      <c r="A399" s="77"/>
      <c r="B399" s="78">
        <f t="shared" si="6"/>
        <v>0</v>
      </c>
      <c r="C399" s="79"/>
      <c r="D399" s="80"/>
      <c r="E399" s="101"/>
      <c r="F399" s="81"/>
    </row>
    <row r="400" spans="1:6" x14ac:dyDescent="0.25">
      <c r="A400" s="77"/>
      <c r="B400" s="78">
        <f t="shared" si="6"/>
        <v>0</v>
      </c>
      <c r="C400" s="79"/>
      <c r="D400" s="80"/>
      <c r="E400" s="101"/>
      <c r="F400" s="81"/>
    </row>
    <row r="401" spans="1:6" x14ac:dyDescent="0.25">
      <c r="A401" s="77"/>
      <c r="B401" s="78">
        <f t="shared" si="6"/>
        <v>0</v>
      </c>
      <c r="C401" s="79"/>
      <c r="D401" s="80"/>
      <c r="E401" s="101"/>
      <c r="F401" s="81"/>
    </row>
    <row r="402" spans="1:6" x14ac:dyDescent="0.25">
      <c r="A402" s="77"/>
      <c r="B402" s="78">
        <f t="shared" si="6"/>
        <v>0</v>
      </c>
      <c r="C402" s="79"/>
      <c r="D402" s="80"/>
      <c r="E402" s="101"/>
      <c r="F402" s="81"/>
    </row>
    <row r="403" spans="1:6" x14ac:dyDescent="0.25">
      <c r="A403" s="77"/>
      <c r="B403" s="78">
        <f t="shared" ref="B403:B466" si="7">WEEKNUM(A403,1)</f>
        <v>0</v>
      </c>
      <c r="C403" s="79"/>
      <c r="D403" s="80"/>
      <c r="E403" s="101"/>
      <c r="F403" s="81"/>
    </row>
    <row r="404" spans="1:6" x14ac:dyDescent="0.25">
      <c r="A404" s="77"/>
      <c r="B404" s="78">
        <f t="shared" si="7"/>
        <v>0</v>
      </c>
      <c r="C404" s="79"/>
      <c r="D404" s="80"/>
      <c r="E404" s="101"/>
      <c r="F404" s="81"/>
    </row>
    <row r="405" spans="1:6" x14ac:dyDescent="0.25">
      <c r="A405" s="77"/>
      <c r="B405" s="78">
        <f t="shared" si="7"/>
        <v>0</v>
      </c>
      <c r="C405" s="79"/>
      <c r="D405" s="80"/>
      <c r="E405" s="101"/>
      <c r="F405" s="81"/>
    </row>
    <row r="406" spans="1:6" x14ac:dyDescent="0.25">
      <c r="A406" s="77"/>
      <c r="B406" s="78">
        <f t="shared" si="7"/>
        <v>0</v>
      </c>
      <c r="C406" s="79"/>
      <c r="D406" s="80"/>
      <c r="E406" s="101"/>
      <c r="F406" s="81"/>
    </row>
    <row r="407" spans="1:6" x14ac:dyDescent="0.25">
      <c r="A407" s="77"/>
      <c r="B407" s="78">
        <f t="shared" si="7"/>
        <v>0</v>
      </c>
      <c r="C407" s="79"/>
      <c r="D407" s="80"/>
      <c r="E407" s="101"/>
      <c r="F407" s="81"/>
    </row>
    <row r="408" spans="1:6" x14ac:dyDescent="0.25">
      <c r="A408" s="77"/>
      <c r="B408" s="78">
        <f t="shared" si="7"/>
        <v>0</v>
      </c>
      <c r="C408" s="79"/>
      <c r="D408" s="80"/>
      <c r="E408" s="101"/>
      <c r="F408" s="81"/>
    </row>
    <row r="409" spans="1:6" x14ac:dyDescent="0.25">
      <c r="A409" s="77"/>
      <c r="B409" s="78">
        <f t="shared" si="7"/>
        <v>0</v>
      </c>
      <c r="C409" s="79"/>
      <c r="D409" s="80"/>
      <c r="E409" s="101"/>
      <c r="F409" s="81"/>
    </row>
    <row r="410" spans="1:6" x14ac:dyDescent="0.25">
      <c r="A410" s="77"/>
      <c r="B410" s="78">
        <f t="shared" si="7"/>
        <v>0</v>
      </c>
      <c r="C410" s="79"/>
      <c r="D410" s="80"/>
      <c r="E410" s="101"/>
      <c r="F410" s="81"/>
    </row>
    <row r="411" spans="1:6" x14ac:dyDescent="0.25">
      <c r="A411" s="77"/>
      <c r="B411" s="78">
        <f t="shared" si="7"/>
        <v>0</v>
      </c>
      <c r="C411" s="79"/>
      <c r="D411" s="80"/>
      <c r="E411" s="101"/>
      <c r="F411" s="81"/>
    </row>
    <row r="412" spans="1:6" x14ac:dyDescent="0.25">
      <c r="A412" s="77"/>
      <c r="B412" s="78">
        <f t="shared" si="7"/>
        <v>0</v>
      </c>
      <c r="C412" s="79"/>
      <c r="D412" s="80"/>
      <c r="E412" s="101"/>
      <c r="F412" s="81"/>
    </row>
    <row r="413" spans="1:6" x14ac:dyDescent="0.25">
      <c r="A413" s="77"/>
      <c r="B413" s="78">
        <f t="shared" si="7"/>
        <v>0</v>
      </c>
      <c r="C413" s="79"/>
      <c r="D413" s="80"/>
      <c r="E413" s="101"/>
      <c r="F413" s="81"/>
    </row>
    <row r="414" spans="1:6" x14ac:dyDescent="0.25">
      <c r="A414" s="77"/>
      <c r="B414" s="78">
        <f t="shared" si="7"/>
        <v>0</v>
      </c>
      <c r="C414" s="79"/>
      <c r="D414" s="80"/>
      <c r="E414" s="101"/>
      <c r="F414" s="81"/>
    </row>
    <row r="415" spans="1:6" x14ac:dyDescent="0.25">
      <c r="A415" s="77"/>
      <c r="B415" s="78">
        <f t="shared" si="7"/>
        <v>0</v>
      </c>
      <c r="C415" s="79"/>
      <c r="D415" s="80"/>
      <c r="E415" s="101"/>
      <c r="F415" s="81"/>
    </row>
    <row r="416" spans="1:6" x14ac:dyDescent="0.25">
      <c r="A416" s="77"/>
      <c r="B416" s="78">
        <f t="shared" si="7"/>
        <v>0</v>
      </c>
      <c r="C416" s="79"/>
      <c r="D416" s="80"/>
      <c r="E416" s="101"/>
      <c r="F416" s="81"/>
    </row>
    <row r="417" spans="1:6" x14ac:dyDescent="0.25">
      <c r="A417" s="77"/>
      <c r="B417" s="78">
        <f t="shared" si="7"/>
        <v>0</v>
      </c>
      <c r="C417" s="79"/>
      <c r="D417" s="80"/>
      <c r="E417" s="101"/>
      <c r="F417" s="81"/>
    </row>
    <row r="418" spans="1:6" x14ac:dyDescent="0.25">
      <c r="A418" s="77"/>
      <c r="B418" s="78">
        <f t="shared" si="7"/>
        <v>0</v>
      </c>
      <c r="C418" s="79"/>
      <c r="D418" s="80"/>
      <c r="E418" s="101"/>
      <c r="F418" s="81"/>
    </row>
    <row r="419" spans="1:6" x14ac:dyDescent="0.25">
      <c r="A419" s="77"/>
      <c r="B419" s="78">
        <f t="shared" si="7"/>
        <v>0</v>
      </c>
      <c r="C419" s="79"/>
      <c r="D419" s="80"/>
      <c r="E419" s="101"/>
      <c r="F419" s="81"/>
    </row>
    <row r="420" spans="1:6" x14ac:dyDescent="0.25">
      <c r="A420" s="77"/>
      <c r="B420" s="78">
        <f t="shared" si="7"/>
        <v>0</v>
      </c>
      <c r="C420" s="79"/>
      <c r="D420" s="80"/>
      <c r="E420" s="101"/>
      <c r="F420" s="81"/>
    </row>
    <row r="421" spans="1:6" x14ac:dyDescent="0.25">
      <c r="A421" s="77"/>
      <c r="B421" s="78">
        <f t="shared" si="7"/>
        <v>0</v>
      </c>
      <c r="C421" s="79"/>
      <c r="D421" s="80"/>
      <c r="E421" s="101"/>
      <c r="F421" s="81"/>
    </row>
    <row r="422" spans="1:6" x14ac:dyDescent="0.25">
      <c r="A422" s="77"/>
      <c r="B422" s="78">
        <f t="shared" si="7"/>
        <v>0</v>
      </c>
      <c r="C422" s="79"/>
      <c r="D422" s="80"/>
      <c r="E422" s="101"/>
      <c r="F422" s="81"/>
    </row>
    <row r="423" spans="1:6" x14ac:dyDescent="0.25">
      <c r="A423" s="77"/>
      <c r="B423" s="78">
        <f t="shared" si="7"/>
        <v>0</v>
      </c>
      <c r="C423" s="79"/>
      <c r="D423" s="80"/>
      <c r="E423" s="101"/>
      <c r="F423" s="81"/>
    </row>
    <row r="424" spans="1:6" x14ac:dyDescent="0.25">
      <c r="A424" s="77"/>
      <c r="B424" s="78">
        <f t="shared" si="7"/>
        <v>0</v>
      </c>
      <c r="C424" s="79"/>
      <c r="D424" s="80"/>
      <c r="E424" s="101"/>
      <c r="F424" s="81"/>
    </row>
    <row r="425" spans="1:6" x14ac:dyDescent="0.25">
      <c r="A425" s="77"/>
      <c r="B425" s="78">
        <f t="shared" si="7"/>
        <v>0</v>
      </c>
      <c r="C425" s="79"/>
      <c r="D425" s="80"/>
      <c r="E425" s="101"/>
      <c r="F425" s="81"/>
    </row>
    <row r="426" spans="1:6" x14ac:dyDescent="0.25">
      <c r="A426" s="77"/>
      <c r="B426" s="78">
        <f t="shared" si="7"/>
        <v>0</v>
      </c>
      <c r="C426" s="79"/>
      <c r="D426" s="80"/>
      <c r="E426" s="101"/>
      <c r="F426" s="81"/>
    </row>
    <row r="427" spans="1:6" x14ac:dyDescent="0.25">
      <c r="A427" s="77"/>
      <c r="B427" s="78">
        <f t="shared" si="7"/>
        <v>0</v>
      </c>
      <c r="C427" s="79"/>
      <c r="D427" s="80"/>
      <c r="E427" s="101"/>
      <c r="F427" s="81"/>
    </row>
    <row r="428" spans="1:6" x14ac:dyDescent="0.25">
      <c r="A428" s="77"/>
      <c r="B428" s="78">
        <f t="shared" si="7"/>
        <v>0</v>
      </c>
      <c r="C428" s="79"/>
      <c r="D428" s="80"/>
      <c r="E428" s="101"/>
      <c r="F428" s="81"/>
    </row>
    <row r="429" spans="1:6" x14ac:dyDescent="0.25">
      <c r="A429" s="77"/>
      <c r="B429" s="78">
        <f t="shared" si="7"/>
        <v>0</v>
      </c>
      <c r="C429" s="79"/>
      <c r="D429" s="80"/>
      <c r="E429" s="101"/>
      <c r="F429" s="81"/>
    </row>
    <row r="430" spans="1:6" x14ac:dyDescent="0.25">
      <c r="A430" s="77"/>
      <c r="B430" s="78">
        <f t="shared" si="7"/>
        <v>0</v>
      </c>
      <c r="C430" s="79"/>
      <c r="D430" s="80"/>
      <c r="E430" s="101"/>
      <c r="F430" s="81"/>
    </row>
    <row r="431" spans="1:6" x14ac:dyDescent="0.25">
      <c r="A431" s="77"/>
      <c r="B431" s="78">
        <f t="shared" si="7"/>
        <v>0</v>
      </c>
      <c r="C431" s="79"/>
      <c r="D431" s="80"/>
      <c r="E431" s="101"/>
      <c r="F431" s="81"/>
    </row>
    <row r="432" spans="1:6" x14ac:dyDescent="0.25">
      <c r="A432" s="77"/>
      <c r="B432" s="78">
        <f t="shared" si="7"/>
        <v>0</v>
      </c>
      <c r="C432" s="79"/>
      <c r="D432" s="80"/>
      <c r="E432" s="101"/>
      <c r="F432" s="81"/>
    </row>
    <row r="433" spans="1:6" x14ac:dyDescent="0.25">
      <c r="A433" s="77"/>
      <c r="B433" s="78">
        <f t="shared" si="7"/>
        <v>0</v>
      </c>
      <c r="C433" s="79"/>
      <c r="D433" s="80"/>
      <c r="E433" s="101"/>
      <c r="F433" s="81"/>
    </row>
    <row r="434" spans="1:6" x14ac:dyDescent="0.25">
      <c r="A434" s="77"/>
      <c r="B434" s="78">
        <f t="shared" si="7"/>
        <v>0</v>
      </c>
      <c r="C434" s="79"/>
      <c r="D434" s="80"/>
      <c r="E434" s="101"/>
      <c r="F434" s="81"/>
    </row>
    <row r="435" spans="1:6" x14ac:dyDescent="0.25">
      <c r="A435" s="77"/>
      <c r="B435" s="78">
        <f t="shared" si="7"/>
        <v>0</v>
      </c>
      <c r="C435" s="79"/>
      <c r="D435" s="80"/>
      <c r="E435" s="101"/>
      <c r="F435" s="81"/>
    </row>
    <row r="436" spans="1:6" x14ac:dyDescent="0.25">
      <c r="A436" s="77"/>
      <c r="B436" s="78">
        <f t="shared" si="7"/>
        <v>0</v>
      </c>
      <c r="C436" s="79"/>
      <c r="D436" s="80"/>
      <c r="E436" s="101"/>
      <c r="F436" s="81"/>
    </row>
    <row r="437" spans="1:6" x14ac:dyDescent="0.25">
      <c r="A437" s="77"/>
      <c r="B437" s="78">
        <f t="shared" si="7"/>
        <v>0</v>
      </c>
      <c r="C437" s="79"/>
      <c r="D437" s="80"/>
      <c r="E437" s="101"/>
      <c r="F437" s="81"/>
    </row>
    <row r="438" spans="1:6" x14ac:dyDescent="0.25">
      <c r="A438" s="77"/>
      <c r="B438" s="78">
        <f t="shared" si="7"/>
        <v>0</v>
      </c>
      <c r="C438" s="79"/>
      <c r="D438" s="80"/>
      <c r="E438" s="101"/>
      <c r="F438" s="81"/>
    </row>
    <row r="439" spans="1:6" x14ac:dyDescent="0.25">
      <c r="A439" s="77"/>
      <c r="B439" s="78">
        <f t="shared" si="7"/>
        <v>0</v>
      </c>
      <c r="C439" s="79"/>
      <c r="D439" s="80"/>
      <c r="E439" s="101"/>
      <c r="F439" s="81"/>
    </row>
    <row r="440" spans="1:6" x14ac:dyDescent="0.25">
      <c r="A440" s="77"/>
      <c r="B440" s="78">
        <f t="shared" si="7"/>
        <v>0</v>
      </c>
      <c r="C440" s="79"/>
      <c r="D440" s="80"/>
      <c r="E440" s="101"/>
      <c r="F440" s="81"/>
    </row>
    <row r="441" spans="1:6" x14ac:dyDescent="0.25">
      <c r="A441" s="77"/>
      <c r="B441" s="78">
        <f t="shared" si="7"/>
        <v>0</v>
      </c>
      <c r="C441" s="79"/>
      <c r="D441" s="80"/>
      <c r="E441" s="101"/>
      <c r="F441" s="81"/>
    </row>
    <row r="442" spans="1:6" x14ac:dyDescent="0.25">
      <c r="A442" s="77"/>
      <c r="B442" s="78">
        <f t="shared" si="7"/>
        <v>0</v>
      </c>
      <c r="C442" s="79"/>
      <c r="D442" s="80"/>
      <c r="E442" s="101"/>
      <c r="F442" s="81"/>
    </row>
    <row r="443" spans="1:6" x14ac:dyDescent="0.25">
      <c r="A443" s="77"/>
      <c r="B443" s="78">
        <f t="shared" si="7"/>
        <v>0</v>
      </c>
      <c r="C443" s="79"/>
      <c r="D443" s="80"/>
      <c r="E443" s="101"/>
      <c r="F443" s="81"/>
    </row>
    <row r="444" spans="1:6" x14ac:dyDescent="0.25">
      <c r="A444" s="77"/>
      <c r="B444" s="78">
        <f t="shared" si="7"/>
        <v>0</v>
      </c>
      <c r="C444" s="79"/>
      <c r="D444" s="80"/>
      <c r="E444" s="101"/>
      <c r="F444" s="81"/>
    </row>
    <row r="445" spans="1:6" x14ac:dyDescent="0.25">
      <c r="A445" s="77"/>
      <c r="B445" s="78">
        <f t="shared" si="7"/>
        <v>0</v>
      </c>
      <c r="C445" s="79"/>
      <c r="D445" s="80"/>
      <c r="E445" s="101"/>
      <c r="F445" s="81"/>
    </row>
    <row r="446" spans="1:6" x14ac:dyDescent="0.25">
      <c r="A446" s="77"/>
      <c r="B446" s="78">
        <f t="shared" si="7"/>
        <v>0</v>
      </c>
      <c r="C446" s="79"/>
      <c r="D446" s="80"/>
      <c r="E446" s="101"/>
      <c r="F446" s="81"/>
    </row>
    <row r="447" spans="1:6" x14ac:dyDescent="0.25">
      <c r="A447" s="77"/>
      <c r="B447" s="78">
        <f t="shared" si="7"/>
        <v>0</v>
      </c>
      <c r="C447" s="79"/>
      <c r="D447" s="80"/>
      <c r="E447" s="101"/>
      <c r="F447" s="81"/>
    </row>
    <row r="448" spans="1:6" x14ac:dyDescent="0.25">
      <c r="A448" s="77"/>
      <c r="B448" s="78">
        <f t="shared" si="7"/>
        <v>0</v>
      </c>
      <c r="C448" s="79"/>
      <c r="D448" s="80"/>
      <c r="E448" s="101"/>
      <c r="F448" s="81"/>
    </row>
    <row r="449" spans="1:6" x14ac:dyDescent="0.25">
      <c r="A449" s="77"/>
      <c r="B449" s="78">
        <f t="shared" si="7"/>
        <v>0</v>
      </c>
      <c r="C449" s="79"/>
      <c r="D449" s="80"/>
      <c r="E449" s="101"/>
      <c r="F449" s="81"/>
    </row>
    <row r="450" spans="1:6" x14ac:dyDescent="0.25">
      <c r="A450" s="77"/>
      <c r="B450" s="78">
        <f t="shared" si="7"/>
        <v>0</v>
      </c>
      <c r="C450" s="79"/>
      <c r="D450" s="80"/>
      <c r="E450" s="101"/>
      <c r="F450" s="81"/>
    </row>
    <row r="451" spans="1:6" x14ac:dyDescent="0.25">
      <c r="A451" s="77"/>
      <c r="B451" s="78">
        <f t="shared" si="7"/>
        <v>0</v>
      </c>
      <c r="C451" s="79"/>
      <c r="D451" s="80"/>
      <c r="E451" s="101"/>
      <c r="F451" s="81"/>
    </row>
    <row r="452" spans="1:6" x14ac:dyDescent="0.25">
      <c r="A452" s="77"/>
      <c r="B452" s="78">
        <f t="shared" si="7"/>
        <v>0</v>
      </c>
      <c r="C452" s="79"/>
      <c r="D452" s="80"/>
      <c r="E452" s="101"/>
      <c r="F452" s="81"/>
    </row>
    <row r="453" spans="1:6" x14ac:dyDescent="0.25">
      <c r="A453" s="77"/>
      <c r="B453" s="78">
        <f t="shared" si="7"/>
        <v>0</v>
      </c>
      <c r="C453" s="79"/>
      <c r="D453" s="80"/>
      <c r="E453" s="101"/>
      <c r="F453" s="81"/>
    </row>
    <row r="454" spans="1:6" x14ac:dyDescent="0.25">
      <c r="A454" s="77"/>
      <c r="B454" s="78">
        <f t="shared" si="7"/>
        <v>0</v>
      </c>
      <c r="C454" s="79"/>
      <c r="D454" s="80"/>
      <c r="E454" s="101"/>
      <c r="F454" s="81"/>
    </row>
    <row r="455" spans="1:6" x14ac:dyDescent="0.25">
      <c r="A455" s="77"/>
      <c r="B455" s="78">
        <f t="shared" si="7"/>
        <v>0</v>
      </c>
      <c r="C455" s="79"/>
      <c r="D455" s="80"/>
      <c r="E455" s="101"/>
      <c r="F455" s="81"/>
    </row>
    <row r="456" spans="1:6" x14ac:dyDescent="0.25">
      <c r="A456" s="77"/>
      <c r="B456" s="78">
        <f t="shared" si="7"/>
        <v>0</v>
      </c>
      <c r="C456" s="79"/>
      <c r="D456" s="80"/>
      <c r="E456" s="101"/>
      <c r="F456" s="81"/>
    </row>
    <row r="457" spans="1:6" x14ac:dyDescent="0.25">
      <c r="A457" s="77"/>
      <c r="B457" s="78">
        <f t="shared" si="7"/>
        <v>0</v>
      </c>
      <c r="C457" s="79"/>
      <c r="D457" s="80"/>
      <c r="E457" s="101"/>
      <c r="F457" s="81"/>
    </row>
    <row r="458" spans="1:6" x14ac:dyDescent="0.25">
      <c r="A458" s="77"/>
      <c r="B458" s="78">
        <f t="shared" si="7"/>
        <v>0</v>
      </c>
      <c r="C458" s="79"/>
      <c r="D458" s="80"/>
      <c r="E458" s="101"/>
      <c r="F458" s="81"/>
    </row>
    <row r="459" spans="1:6" x14ac:dyDescent="0.25">
      <c r="A459" s="77"/>
      <c r="B459" s="78">
        <f t="shared" si="7"/>
        <v>0</v>
      </c>
      <c r="C459" s="79"/>
      <c r="D459" s="80"/>
      <c r="E459" s="101"/>
      <c r="F459" s="81"/>
    </row>
    <row r="460" spans="1:6" x14ac:dyDescent="0.25">
      <c r="A460" s="77"/>
      <c r="B460" s="78">
        <f t="shared" si="7"/>
        <v>0</v>
      </c>
      <c r="C460" s="79"/>
      <c r="D460" s="80"/>
      <c r="E460" s="101"/>
      <c r="F460" s="81"/>
    </row>
    <row r="461" spans="1:6" x14ac:dyDescent="0.25">
      <c r="A461" s="77"/>
      <c r="B461" s="78">
        <f t="shared" si="7"/>
        <v>0</v>
      </c>
      <c r="C461" s="79"/>
      <c r="D461" s="80"/>
      <c r="E461" s="101"/>
      <c r="F461" s="81"/>
    </row>
    <row r="462" spans="1:6" x14ac:dyDescent="0.25">
      <c r="A462" s="77"/>
      <c r="B462" s="78">
        <f t="shared" si="7"/>
        <v>0</v>
      </c>
      <c r="C462" s="79"/>
      <c r="D462" s="80"/>
      <c r="E462" s="101"/>
      <c r="F462" s="81"/>
    </row>
    <row r="463" spans="1:6" x14ac:dyDescent="0.25">
      <c r="A463" s="77"/>
      <c r="B463" s="78">
        <f t="shared" si="7"/>
        <v>0</v>
      </c>
      <c r="C463" s="79"/>
      <c r="D463" s="80"/>
      <c r="E463" s="101"/>
      <c r="F463" s="81"/>
    </row>
    <row r="464" spans="1:6" x14ac:dyDescent="0.25">
      <c r="A464" s="77"/>
      <c r="B464" s="78">
        <f t="shared" si="7"/>
        <v>0</v>
      </c>
      <c r="C464" s="79"/>
      <c r="D464" s="80"/>
      <c r="E464" s="101"/>
      <c r="F464" s="81"/>
    </row>
    <row r="465" spans="1:6" x14ac:dyDescent="0.25">
      <c r="A465" s="77"/>
      <c r="B465" s="78">
        <f t="shared" si="7"/>
        <v>0</v>
      </c>
      <c r="C465" s="79"/>
      <c r="D465" s="80"/>
      <c r="E465" s="101"/>
      <c r="F465" s="81"/>
    </row>
    <row r="466" spans="1:6" x14ac:dyDescent="0.25">
      <c r="A466" s="77"/>
      <c r="B466" s="78">
        <f t="shared" si="7"/>
        <v>0</v>
      </c>
      <c r="C466" s="79"/>
      <c r="D466" s="80"/>
      <c r="E466" s="101"/>
      <c r="F466" s="81"/>
    </row>
    <row r="467" spans="1:6" x14ac:dyDescent="0.25">
      <c r="A467" s="77"/>
      <c r="B467" s="78">
        <f t="shared" ref="B467:B530" si="8">WEEKNUM(A467,1)</f>
        <v>0</v>
      </c>
      <c r="C467" s="79"/>
      <c r="D467" s="80"/>
      <c r="E467" s="101"/>
      <c r="F467" s="81"/>
    </row>
    <row r="468" spans="1:6" x14ac:dyDescent="0.25">
      <c r="A468" s="77"/>
      <c r="B468" s="78">
        <f t="shared" si="8"/>
        <v>0</v>
      </c>
      <c r="C468" s="79"/>
      <c r="D468" s="80"/>
      <c r="E468" s="101"/>
      <c r="F468" s="81"/>
    </row>
    <row r="469" spans="1:6" x14ac:dyDescent="0.25">
      <c r="A469" s="77"/>
      <c r="B469" s="78">
        <f t="shared" si="8"/>
        <v>0</v>
      </c>
      <c r="C469" s="79"/>
      <c r="D469" s="80"/>
      <c r="E469" s="101"/>
      <c r="F469" s="81"/>
    </row>
    <row r="470" spans="1:6" x14ac:dyDescent="0.25">
      <c r="A470" s="77"/>
      <c r="B470" s="78">
        <f t="shared" si="8"/>
        <v>0</v>
      </c>
      <c r="C470" s="79"/>
      <c r="D470" s="80"/>
      <c r="E470" s="101"/>
      <c r="F470" s="81"/>
    </row>
    <row r="471" spans="1:6" x14ac:dyDescent="0.25">
      <c r="A471" s="77"/>
      <c r="B471" s="78">
        <f t="shared" si="8"/>
        <v>0</v>
      </c>
      <c r="C471" s="79"/>
      <c r="D471" s="80"/>
      <c r="E471" s="101"/>
      <c r="F471" s="81"/>
    </row>
    <row r="472" spans="1:6" x14ac:dyDescent="0.25">
      <c r="A472" s="72"/>
      <c r="B472" s="73">
        <f t="shared" si="8"/>
        <v>0</v>
      </c>
      <c r="C472" s="79"/>
      <c r="D472" s="75"/>
      <c r="E472" s="90"/>
      <c r="F472" s="81"/>
    </row>
    <row r="473" spans="1:6" x14ac:dyDescent="0.25">
      <c r="A473" s="72"/>
      <c r="B473" s="73">
        <f t="shared" si="8"/>
        <v>0</v>
      </c>
      <c r="C473" s="79"/>
      <c r="D473" s="75"/>
      <c r="E473" s="90"/>
      <c r="F473" s="81"/>
    </row>
    <row r="474" spans="1:6" x14ac:dyDescent="0.25">
      <c r="A474" s="72"/>
      <c r="B474" s="73">
        <f t="shared" si="8"/>
        <v>0</v>
      </c>
      <c r="C474" s="79"/>
      <c r="D474" s="75"/>
      <c r="E474" s="90"/>
      <c r="F474" s="81"/>
    </row>
    <row r="475" spans="1:6" x14ac:dyDescent="0.25">
      <c r="A475" s="72"/>
      <c r="B475" s="73">
        <f t="shared" si="8"/>
        <v>0</v>
      </c>
      <c r="C475" s="79"/>
      <c r="D475" s="75"/>
      <c r="E475" s="90"/>
      <c r="F475" s="81"/>
    </row>
    <row r="476" spans="1:6" x14ac:dyDescent="0.25">
      <c r="A476" s="72"/>
      <c r="B476" s="73">
        <f t="shared" si="8"/>
        <v>0</v>
      </c>
      <c r="C476" s="79"/>
      <c r="D476" s="75"/>
      <c r="E476" s="90"/>
      <c r="F476" s="81"/>
    </row>
    <row r="477" spans="1:6" x14ac:dyDescent="0.25">
      <c r="A477" s="72"/>
      <c r="B477" s="73">
        <f t="shared" si="8"/>
        <v>0</v>
      </c>
      <c r="C477" s="79"/>
      <c r="D477" s="75"/>
      <c r="E477" s="90"/>
      <c r="F477" s="81"/>
    </row>
    <row r="478" spans="1:6" x14ac:dyDescent="0.25">
      <c r="A478" s="72"/>
      <c r="B478" s="73">
        <f t="shared" si="8"/>
        <v>0</v>
      </c>
      <c r="C478" s="79"/>
      <c r="D478" s="75"/>
      <c r="E478" s="90"/>
      <c r="F478" s="81"/>
    </row>
    <row r="479" spans="1:6" x14ac:dyDescent="0.25">
      <c r="A479" s="72"/>
      <c r="B479" s="73">
        <f t="shared" si="8"/>
        <v>0</v>
      </c>
      <c r="C479" s="79"/>
      <c r="D479" s="75"/>
      <c r="E479" s="90"/>
      <c r="F479" s="81"/>
    </row>
    <row r="480" spans="1:6" x14ac:dyDescent="0.25">
      <c r="A480" s="72"/>
      <c r="B480" s="73">
        <f t="shared" si="8"/>
        <v>0</v>
      </c>
      <c r="C480" s="79"/>
      <c r="D480" s="75"/>
      <c r="E480" s="90"/>
      <c r="F480" s="81"/>
    </row>
    <row r="481" spans="1:6" x14ac:dyDescent="0.25">
      <c r="A481" s="72"/>
      <c r="B481" s="73">
        <f t="shared" si="8"/>
        <v>0</v>
      </c>
      <c r="C481" s="79"/>
      <c r="D481" s="75"/>
      <c r="E481" s="90"/>
      <c r="F481" s="81"/>
    </row>
    <row r="482" spans="1:6" x14ac:dyDescent="0.25">
      <c r="A482" s="72"/>
      <c r="B482" s="73">
        <f t="shared" si="8"/>
        <v>0</v>
      </c>
      <c r="C482" s="79"/>
      <c r="D482" s="75"/>
      <c r="E482" s="90"/>
      <c r="F482" s="81"/>
    </row>
    <row r="483" spans="1:6" x14ac:dyDescent="0.25">
      <c r="A483" s="72"/>
      <c r="B483" s="73">
        <f t="shared" si="8"/>
        <v>0</v>
      </c>
      <c r="C483" s="79"/>
      <c r="D483" s="75"/>
      <c r="E483" s="90"/>
      <c r="F483" s="81"/>
    </row>
    <row r="484" spans="1:6" x14ac:dyDescent="0.25">
      <c r="A484" s="72"/>
      <c r="B484" s="73">
        <f t="shared" si="8"/>
        <v>0</v>
      </c>
      <c r="C484" s="79"/>
      <c r="D484" s="75"/>
      <c r="E484" s="90"/>
      <c r="F484" s="81"/>
    </row>
    <row r="485" spans="1:6" x14ac:dyDescent="0.25">
      <c r="A485" s="72"/>
      <c r="B485" s="73">
        <f t="shared" si="8"/>
        <v>0</v>
      </c>
      <c r="C485" s="79"/>
      <c r="D485" s="75"/>
      <c r="E485" s="90"/>
      <c r="F485" s="81"/>
    </row>
    <row r="486" spans="1:6" x14ac:dyDescent="0.25">
      <c r="A486" s="72"/>
      <c r="B486" s="73">
        <f t="shared" si="8"/>
        <v>0</v>
      </c>
      <c r="C486" s="79"/>
      <c r="D486" s="75"/>
      <c r="E486" s="90"/>
      <c r="F486" s="81"/>
    </row>
    <row r="487" spans="1:6" x14ac:dyDescent="0.25">
      <c r="A487" s="72"/>
      <c r="B487" s="73">
        <f t="shared" si="8"/>
        <v>0</v>
      </c>
      <c r="C487" s="79"/>
      <c r="D487" s="75"/>
      <c r="E487" s="90"/>
      <c r="F487" s="81"/>
    </row>
    <row r="488" spans="1:6" x14ac:dyDescent="0.25">
      <c r="A488" s="72"/>
      <c r="B488" s="73">
        <f t="shared" si="8"/>
        <v>0</v>
      </c>
      <c r="C488" s="79"/>
      <c r="D488" s="75"/>
      <c r="E488" s="90"/>
      <c r="F488" s="81"/>
    </row>
    <row r="489" spans="1:6" x14ac:dyDescent="0.25">
      <c r="A489" s="72"/>
      <c r="B489" s="73">
        <f t="shared" si="8"/>
        <v>0</v>
      </c>
      <c r="C489" s="79"/>
      <c r="D489" s="75"/>
      <c r="E489" s="90"/>
      <c r="F489" s="81"/>
    </row>
    <row r="490" spans="1:6" x14ac:dyDescent="0.25">
      <c r="A490" s="72"/>
      <c r="B490" s="73">
        <f t="shared" si="8"/>
        <v>0</v>
      </c>
      <c r="C490" s="79"/>
      <c r="D490" s="75"/>
      <c r="E490" s="90"/>
      <c r="F490" s="81"/>
    </row>
    <row r="491" spans="1:6" x14ac:dyDescent="0.25">
      <c r="A491" s="72"/>
      <c r="B491" s="73">
        <f t="shared" si="8"/>
        <v>0</v>
      </c>
      <c r="C491" s="79"/>
      <c r="D491" s="75"/>
      <c r="E491" s="90"/>
      <c r="F491" s="81"/>
    </row>
    <row r="492" spans="1:6" x14ac:dyDescent="0.25">
      <c r="A492" s="72"/>
      <c r="B492" s="73">
        <f t="shared" si="8"/>
        <v>0</v>
      </c>
      <c r="C492" s="79"/>
      <c r="D492" s="75"/>
      <c r="E492" s="90"/>
      <c r="F492" s="81"/>
    </row>
    <row r="493" spans="1:6" x14ac:dyDescent="0.25">
      <c r="A493" s="72"/>
      <c r="B493" s="73">
        <f t="shared" si="8"/>
        <v>0</v>
      </c>
      <c r="C493" s="79"/>
      <c r="D493" s="75"/>
      <c r="E493" s="90"/>
      <c r="F493" s="81"/>
    </row>
    <row r="494" spans="1:6" x14ac:dyDescent="0.25">
      <c r="A494" s="72"/>
      <c r="B494" s="73">
        <f t="shared" si="8"/>
        <v>0</v>
      </c>
      <c r="C494" s="79"/>
      <c r="D494" s="75"/>
      <c r="E494" s="90"/>
      <c r="F494" s="81"/>
    </row>
    <row r="495" spans="1:6" x14ac:dyDescent="0.25">
      <c r="A495" s="72"/>
      <c r="B495" s="73">
        <f t="shared" si="8"/>
        <v>0</v>
      </c>
      <c r="C495" s="79"/>
      <c r="D495" s="75"/>
      <c r="E495" s="90"/>
      <c r="F495" s="81"/>
    </row>
    <row r="496" spans="1:6" x14ac:dyDescent="0.25">
      <c r="A496" s="72"/>
      <c r="B496" s="73">
        <f t="shared" si="8"/>
        <v>0</v>
      </c>
      <c r="C496" s="79"/>
      <c r="D496" s="75"/>
      <c r="E496" s="90"/>
      <c r="F496" s="81"/>
    </row>
    <row r="497" spans="1:6" x14ac:dyDescent="0.25">
      <c r="A497" s="72"/>
      <c r="B497" s="73">
        <f t="shared" si="8"/>
        <v>0</v>
      </c>
      <c r="C497" s="79"/>
      <c r="D497" s="75"/>
      <c r="E497" s="90"/>
      <c r="F497" s="81"/>
    </row>
    <row r="498" spans="1:6" x14ac:dyDescent="0.25">
      <c r="A498" s="72"/>
      <c r="B498" s="73">
        <f t="shared" si="8"/>
        <v>0</v>
      </c>
      <c r="C498" s="79"/>
      <c r="D498" s="75"/>
      <c r="E498" s="90"/>
      <c r="F498" s="81"/>
    </row>
    <row r="499" spans="1:6" x14ac:dyDescent="0.25">
      <c r="A499" s="72"/>
      <c r="B499" s="73">
        <f t="shared" si="8"/>
        <v>0</v>
      </c>
      <c r="C499" s="79"/>
      <c r="D499" s="75"/>
      <c r="E499" s="90"/>
      <c r="F499" s="81"/>
    </row>
    <row r="500" spans="1:6" x14ac:dyDescent="0.25">
      <c r="A500" s="72"/>
      <c r="B500" s="73">
        <f t="shared" si="8"/>
        <v>0</v>
      </c>
      <c r="C500" s="79"/>
      <c r="D500" s="75"/>
      <c r="E500" s="90"/>
      <c r="F500" s="81"/>
    </row>
    <row r="501" spans="1:6" x14ac:dyDescent="0.25">
      <c r="A501" s="72"/>
      <c r="B501" s="73">
        <f t="shared" si="8"/>
        <v>0</v>
      </c>
      <c r="C501" s="79"/>
      <c r="D501" s="75"/>
      <c r="E501" s="90"/>
      <c r="F501" s="81"/>
    </row>
    <row r="502" spans="1:6" x14ac:dyDescent="0.25">
      <c r="A502" s="72"/>
      <c r="B502" s="73">
        <f t="shared" si="8"/>
        <v>0</v>
      </c>
      <c r="C502" s="79"/>
      <c r="D502" s="75"/>
      <c r="E502" s="90"/>
      <c r="F502" s="81"/>
    </row>
    <row r="503" spans="1:6" x14ac:dyDescent="0.25">
      <c r="A503" s="72"/>
      <c r="B503" s="73">
        <f t="shared" si="8"/>
        <v>0</v>
      </c>
      <c r="C503" s="79"/>
      <c r="D503" s="75"/>
      <c r="E503" s="90"/>
      <c r="F503" s="81"/>
    </row>
    <row r="504" spans="1:6" x14ac:dyDescent="0.25">
      <c r="A504" s="72"/>
      <c r="B504" s="73">
        <f t="shared" si="8"/>
        <v>0</v>
      </c>
      <c r="C504" s="79"/>
      <c r="D504" s="75"/>
      <c r="E504" s="90"/>
      <c r="F504" s="81"/>
    </row>
    <row r="505" spans="1:6" x14ac:dyDescent="0.25">
      <c r="A505" s="72"/>
      <c r="B505" s="73">
        <f t="shared" si="8"/>
        <v>0</v>
      </c>
      <c r="C505" s="79"/>
      <c r="D505" s="75"/>
      <c r="E505" s="90"/>
      <c r="F505" s="81"/>
    </row>
    <row r="506" spans="1:6" x14ac:dyDescent="0.25">
      <c r="A506" s="72"/>
      <c r="B506" s="73">
        <f t="shared" si="8"/>
        <v>0</v>
      </c>
      <c r="C506" s="79"/>
      <c r="D506" s="75"/>
      <c r="E506" s="90"/>
      <c r="F506" s="81"/>
    </row>
    <row r="507" spans="1:6" x14ac:dyDescent="0.25">
      <c r="A507" s="72"/>
      <c r="B507" s="73">
        <f t="shared" si="8"/>
        <v>0</v>
      </c>
      <c r="C507" s="79"/>
      <c r="D507" s="75"/>
      <c r="E507" s="90"/>
      <c r="F507" s="81"/>
    </row>
    <row r="508" spans="1:6" x14ac:dyDescent="0.25">
      <c r="A508" s="72"/>
      <c r="B508" s="73">
        <f t="shared" si="8"/>
        <v>0</v>
      </c>
      <c r="C508" s="79"/>
      <c r="D508" s="75"/>
      <c r="E508" s="90"/>
      <c r="F508" s="81"/>
    </row>
    <row r="509" spans="1:6" x14ac:dyDescent="0.25">
      <c r="A509" s="72"/>
      <c r="B509" s="73">
        <f t="shared" si="8"/>
        <v>0</v>
      </c>
      <c r="C509" s="79"/>
      <c r="D509" s="75"/>
      <c r="E509" s="90"/>
      <c r="F509" s="81"/>
    </row>
    <row r="510" spans="1:6" x14ac:dyDescent="0.25">
      <c r="A510" s="72"/>
      <c r="B510" s="73">
        <f t="shared" si="8"/>
        <v>0</v>
      </c>
      <c r="C510" s="79"/>
      <c r="D510" s="75"/>
      <c r="E510" s="90"/>
      <c r="F510" s="81"/>
    </row>
    <row r="511" spans="1:6" x14ac:dyDescent="0.25">
      <c r="A511" s="72"/>
      <c r="B511" s="73">
        <f t="shared" si="8"/>
        <v>0</v>
      </c>
      <c r="C511" s="79"/>
      <c r="D511" s="75"/>
      <c r="E511" s="90"/>
      <c r="F511" s="81"/>
    </row>
    <row r="512" spans="1:6" x14ac:dyDescent="0.25">
      <c r="A512" s="72"/>
      <c r="B512" s="73">
        <f t="shared" si="8"/>
        <v>0</v>
      </c>
      <c r="C512" s="79"/>
      <c r="D512" s="75"/>
      <c r="E512" s="90"/>
      <c r="F512" s="81"/>
    </row>
    <row r="513" spans="1:6" x14ac:dyDescent="0.25">
      <c r="A513" s="72"/>
      <c r="B513" s="73">
        <f t="shared" si="8"/>
        <v>0</v>
      </c>
      <c r="C513" s="79"/>
      <c r="D513" s="75"/>
      <c r="E513" s="90"/>
      <c r="F513" s="81"/>
    </row>
    <row r="514" spans="1:6" x14ac:dyDescent="0.25">
      <c r="A514" s="72"/>
      <c r="B514" s="73">
        <f t="shared" si="8"/>
        <v>0</v>
      </c>
      <c r="C514" s="79"/>
      <c r="D514" s="75"/>
      <c r="E514" s="90"/>
      <c r="F514" s="81"/>
    </row>
    <row r="515" spans="1:6" x14ac:dyDescent="0.25">
      <c r="A515" s="72"/>
      <c r="B515" s="73">
        <f t="shared" si="8"/>
        <v>0</v>
      </c>
      <c r="C515" s="79"/>
      <c r="D515" s="75"/>
      <c r="E515" s="90"/>
      <c r="F515" s="81"/>
    </row>
    <row r="516" spans="1:6" x14ac:dyDescent="0.25">
      <c r="A516" s="72"/>
      <c r="B516" s="73">
        <f t="shared" si="8"/>
        <v>0</v>
      </c>
      <c r="C516" s="79"/>
      <c r="D516" s="75"/>
      <c r="E516" s="90"/>
      <c r="F516" s="81"/>
    </row>
    <row r="517" spans="1:6" x14ac:dyDescent="0.25">
      <c r="A517" s="72"/>
      <c r="B517" s="73">
        <f t="shared" si="8"/>
        <v>0</v>
      </c>
      <c r="C517" s="79"/>
      <c r="D517" s="75"/>
      <c r="E517" s="90"/>
      <c r="F517" s="81"/>
    </row>
    <row r="518" spans="1:6" x14ac:dyDescent="0.25">
      <c r="A518" s="72"/>
      <c r="B518" s="73">
        <f t="shared" si="8"/>
        <v>0</v>
      </c>
      <c r="C518" s="79"/>
      <c r="D518" s="75"/>
      <c r="E518" s="90"/>
      <c r="F518" s="81"/>
    </row>
    <row r="519" spans="1:6" x14ac:dyDescent="0.25">
      <c r="A519" s="72"/>
      <c r="B519" s="73">
        <f t="shared" si="8"/>
        <v>0</v>
      </c>
      <c r="C519" s="79"/>
      <c r="D519" s="75"/>
      <c r="E519" s="90"/>
      <c r="F519" s="81"/>
    </row>
    <row r="520" spans="1:6" x14ac:dyDescent="0.25">
      <c r="A520" s="72"/>
      <c r="B520" s="73">
        <f t="shared" si="8"/>
        <v>0</v>
      </c>
      <c r="C520" s="79"/>
      <c r="D520" s="75"/>
      <c r="E520" s="90"/>
      <c r="F520" s="81"/>
    </row>
    <row r="521" spans="1:6" x14ac:dyDescent="0.25">
      <c r="A521" s="72"/>
      <c r="B521" s="73">
        <f t="shared" si="8"/>
        <v>0</v>
      </c>
      <c r="C521" s="79"/>
      <c r="D521" s="75"/>
      <c r="E521" s="90"/>
      <c r="F521" s="81"/>
    </row>
    <row r="522" spans="1:6" x14ac:dyDescent="0.25">
      <c r="A522" s="72"/>
      <c r="B522" s="73">
        <f t="shared" si="8"/>
        <v>0</v>
      </c>
      <c r="C522" s="79"/>
      <c r="D522" s="75"/>
      <c r="E522" s="90"/>
      <c r="F522" s="81"/>
    </row>
    <row r="523" spans="1:6" x14ac:dyDescent="0.25">
      <c r="A523" s="72"/>
      <c r="B523" s="73">
        <f t="shared" si="8"/>
        <v>0</v>
      </c>
      <c r="C523" s="79"/>
      <c r="D523" s="75"/>
      <c r="E523" s="90"/>
      <c r="F523" s="81"/>
    </row>
    <row r="524" spans="1:6" x14ac:dyDescent="0.25">
      <c r="A524" s="72"/>
      <c r="B524" s="73">
        <f t="shared" si="8"/>
        <v>0</v>
      </c>
      <c r="C524" s="79"/>
      <c r="D524" s="75"/>
      <c r="E524" s="90"/>
      <c r="F524" s="81"/>
    </row>
    <row r="525" spans="1:6" x14ac:dyDescent="0.25">
      <c r="A525" s="72"/>
      <c r="B525" s="73">
        <f t="shared" si="8"/>
        <v>0</v>
      </c>
      <c r="C525" s="79"/>
      <c r="D525" s="75"/>
      <c r="E525" s="90"/>
      <c r="F525" s="81"/>
    </row>
    <row r="526" spans="1:6" x14ac:dyDescent="0.25">
      <c r="A526" s="72"/>
      <c r="B526" s="73">
        <f t="shared" si="8"/>
        <v>0</v>
      </c>
      <c r="C526" s="79"/>
      <c r="D526" s="75"/>
      <c r="E526" s="90"/>
      <c r="F526" s="81"/>
    </row>
    <row r="527" spans="1:6" x14ac:dyDescent="0.25">
      <c r="A527" s="72"/>
      <c r="B527" s="73">
        <f t="shared" si="8"/>
        <v>0</v>
      </c>
      <c r="C527" s="79"/>
      <c r="D527" s="75"/>
      <c r="E527" s="90"/>
      <c r="F527" s="81"/>
    </row>
    <row r="528" spans="1:6" x14ac:dyDescent="0.25">
      <c r="A528" s="72"/>
      <c r="B528" s="73">
        <f t="shared" si="8"/>
        <v>0</v>
      </c>
      <c r="C528" s="79"/>
      <c r="D528" s="75"/>
      <c r="E528" s="90"/>
      <c r="F528" s="81"/>
    </row>
    <row r="529" spans="1:6" x14ac:dyDescent="0.25">
      <c r="A529" s="72"/>
      <c r="B529" s="73">
        <f t="shared" si="8"/>
        <v>0</v>
      </c>
      <c r="C529" s="79"/>
      <c r="D529" s="75"/>
      <c r="E529" s="90"/>
      <c r="F529" s="81"/>
    </row>
    <row r="530" spans="1:6" x14ac:dyDescent="0.25">
      <c r="A530" s="72"/>
      <c r="B530" s="73">
        <f t="shared" si="8"/>
        <v>0</v>
      </c>
      <c r="C530" s="79"/>
      <c r="D530" s="75"/>
      <c r="E530" s="90"/>
      <c r="F530" s="81"/>
    </row>
    <row r="531" spans="1:6" x14ac:dyDescent="0.25">
      <c r="A531" s="72"/>
      <c r="B531" s="73">
        <f t="shared" ref="B531:B594" si="9">WEEKNUM(A531,1)</f>
        <v>0</v>
      </c>
      <c r="C531" s="79"/>
      <c r="D531" s="75"/>
      <c r="E531" s="90"/>
      <c r="F531" s="81"/>
    </row>
    <row r="532" spans="1:6" x14ac:dyDescent="0.25">
      <c r="A532" s="72"/>
      <c r="B532" s="73">
        <f t="shared" si="9"/>
        <v>0</v>
      </c>
      <c r="C532" s="79"/>
      <c r="D532" s="75"/>
      <c r="E532" s="90"/>
      <c r="F532" s="81"/>
    </row>
    <row r="533" spans="1:6" x14ac:dyDescent="0.25">
      <c r="A533" s="72"/>
      <c r="B533" s="73">
        <f t="shared" si="9"/>
        <v>0</v>
      </c>
      <c r="C533" s="79"/>
      <c r="D533" s="75"/>
      <c r="E533" s="90"/>
      <c r="F533" s="81"/>
    </row>
    <row r="534" spans="1:6" x14ac:dyDescent="0.25">
      <c r="A534" s="72"/>
      <c r="B534" s="73">
        <f t="shared" si="9"/>
        <v>0</v>
      </c>
      <c r="C534" s="79"/>
      <c r="D534" s="75"/>
      <c r="E534" s="90"/>
      <c r="F534" s="81"/>
    </row>
    <row r="535" spans="1:6" x14ac:dyDescent="0.25">
      <c r="A535" s="72"/>
      <c r="B535" s="73">
        <f t="shared" si="9"/>
        <v>0</v>
      </c>
      <c r="C535" s="79"/>
      <c r="D535" s="75"/>
      <c r="E535" s="90"/>
      <c r="F535" s="81"/>
    </row>
    <row r="536" spans="1:6" x14ac:dyDescent="0.25">
      <c r="A536" s="72"/>
      <c r="B536" s="73">
        <f t="shared" si="9"/>
        <v>0</v>
      </c>
      <c r="C536" s="79"/>
      <c r="D536" s="75"/>
      <c r="E536" s="90"/>
      <c r="F536" s="81"/>
    </row>
    <row r="537" spans="1:6" x14ac:dyDescent="0.25">
      <c r="A537" s="72"/>
      <c r="B537" s="73">
        <f t="shared" si="9"/>
        <v>0</v>
      </c>
      <c r="C537" s="79"/>
      <c r="D537" s="75"/>
      <c r="E537" s="90"/>
      <c r="F537" s="81"/>
    </row>
    <row r="538" spans="1:6" x14ac:dyDescent="0.25">
      <c r="A538" s="72"/>
      <c r="B538" s="73">
        <f t="shared" si="9"/>
        <v>0</v>
      </c>
      <c r="C538" s="79"/>
      <c r="D538" s="75"/>
      <c r="E538" s="90"/>
      <c r="F538" s="81"/>
    </row>
    <row r="539" spans="1:6" x14ac:dyDescent="0.25">
      <c r="A539" s="72"/>
      <c r="B539" s="73">
        <f t="shared" si="9"/>
        <v>0</v>
      </c>
      <c r="C539" s="79"/>
      <c r="D539" s="75"/>
      <c r="E539" s="90"/>
      <c r="F539" s="81"/>
    </row>
    <row r="540" spans="1:6" x14ac:dyDescent="0.25">
      <c r="A540" s="72"/>
      <c r="B540" s="73">
        <f t="shared" si="9"/>
        <v>0</v>
      </c>
      <c r="C540" s="79"/>
      <c r="D540" s="75"/>
      <c r="E540" s="90"/>
      <c r="F540" s="81"/>
    </row>
    <row r="541" spans="1:6" x14ac:dyDescent="0.25">
      <c r="A541" s="72"/>
      <c r="B541" s="73">
        <f t="shared" si="9"/>
        <v>0</v>
      </c>
      <c r="C541" s="79"/>
      <c r="D541" s="75"/>
      <c r="E541" s="90"/>
      <c r="F541" s="81"/>
    </row>
    <row r="542" spans="1:6" x14ac:dyDescent="0.25">
      <c r="A542" s="72"/>
      <c r="B542" s="73">
        <f t="shared" si="9"/>
        <v>0</v>
      </c>
      <c r="C542" s="79"/>
      <c r="D542" s="75"/>
      <c r="E542" s="90"/>
      <c r="F542" s="81"/>
    </row>
    <row r="543" spans="1:6" x14ac:dyDescent="0.25">
      <c r="A543" s="72"/>
      <c r="B543" s="73">
        <f t="shared" si="9"/>
        <v>0</v>
      </c>
      <c r="C543" s="79"/>
      <c r="D543" s="75"/>
      <c r="E543" s="90"/>
      <c r="F543" s="81"/>
    </row>
    <row r="544" spans="1:6" x14ac:dyDescent="0.25">
      <c r="A544" s="72"/>
      <c r="B544" s="73">
        <f t="shared" si="9"/>
        <v>0</v>
      </c>
      <c r="C544" s="79"/>
      <c r="D544" s="75"/>
      <c r="E544" s="90"/>
      <c r="F544" s="81"/>
    </row>
    <row r="545" spans="1:6" x14ac:dyDescent="0.25">
      <c r="A545" s="72"/>
      <c r="B545" s="73">
        <f t="shared" si="9"/>
        <v>0</v>
      </c>
      <c r="C545" s="79"/>
      <c r="D545" s="75"/>
      <c r="E545" s="90"/>
      <c r="F545" s="81"/>
    </row>
    <row r="546" spans="1:6" x14ac:dyDescent="0.25">
      <c r="A546" s="72"/>
      <c r="B546" s="73">
        <f t="shared" si="9"/>
        <v>0</v>
      </c>
      <c r="C546" s="79"/>
      <c r="D546" s="75"/>
      <c r="E546" s="90"/>
      <c r="F546" s="81"/>
    </row>
    <row r="547" spans="1:6" x14ac:dyDescent="0.25">
      <c r="A547" s="72"/>
      <c r="B547" s="73">
        <f t="shared" si="9"/>
        <v>0</v>
      </c>
      <c r="C547" s="79"/>
      <c r="D547" s="75"/>
      <c r="E547" s="90"/>
      <c r="F547" s="81"/>
    </row>
    <row r="548" spans="1:6" x14ac:dyDescent="0.25">
      <c r="A548" s="72"/>
      <c r="B548" s="73">
        <f t="shared" si="9"/>
        <v>0</v>
      </c>
      <c r="C548" s="79"/>
      <c r="D548" s="75"/>
      <c r="E548" s="90"/>
      <c r="F548" s="81"/>
    </row>
    <row r="549" spans="1:6" x14ac:dyDescent="0.25">
      <c r="A549" s="72"/>
      <c r="B549" s="73">
        <f t="shared" si="9"/>
        <v>0</v>
      </c>
      <c r="C549" s="79"/>
      <c r="D549" s="75"/>
      <c r="E549" s="90"/>
      <c r="F549" s="81"/>
    </row>
    <row r="550" spans="1:6" x14ac:dyDescent="0.25">
      <c r="A550" s="72"/>
      <c r="B550" s="73">
        <f t="shared" si="9"/>
        <v>0</v>
      </c>
      <c r="C550" s="79"/>
      <c r="D550" s="75"/>
      <c r="E550" s="90"/>
      <c r="F550" s="81"/>
    </row>
    <row r="551" spans="1:6" x14ac:dyDescent="0.25">
      <c r="A551" s="72"/>
      <c r="B551" s="73">
        <f t="shared" si="9"/>
        <v>0</v>
      </c>
      <c r="C551" s="79"/>
      <c r="D551" s="75"/>
      <c r="E551" s="90"/>
      <c r="F551" s="81"/>
    </row>
    <row r="552" spans="1:6" x14ac:dyDescent="0.25">
      <c r="A552" s="72"/>
      <c r="B552" s="73">
        <f t="shared" si="9"/>
        <v>0</v>
      </c>
      <c r="C552" s="79"/>
      <c r="D552" s="75"/>
      <c r="E552" s="90"/>
      <c r="F552" s="81"/>
    </row>
    <row r="553" spans="1:6" x14ac:dyDescent="0.25">
      <c r="A553" s="72"/>
      <c r="B553" s="73">
        <f t="shared" si="9"/>
        <v>0</v>
      </c>
      <c r="C553" s="79"/>
      <c r="D553" s="75"/>
      <c r="E553" s="90"/>
      <c r="F553" s="81"/>
    </row>
    <row r="554" spans="1:6" x14ac:dyDescent="0.25">
      <c r="A554" s="72"/>
      <c r="B554" s="73">
        <f t="shared" si="9"/>
        <v>0</v>
      </c>
      <c r="C554" s="79"/>
      <c r="D554" s="75"/>
      <c r="E554" s="90"/>
      <c r="F554" s="81"/>
    </row>
    <row r="555" spans="1:6" x14ac:dyDescent="0.25">
      <c r="A555" s="72"/>
      <c r="B555" s="73">
        <f t="shared" si="9"/>
        <v>0</v>
      </c>
      <c r="C555" s="79"/>
      <c r="D555" s="75"/>
      <c r="E555" s="90"/>
      <c r="F555" s="81"/>
    </row>
    <row r="556" spans="1:6" x14ac:dyDescent="0.25">
      <c r="A556" s="72"/>
      <c r="B556" s="73">
        <f t="shared" si="9"/>
        <v>0</v>
      </c>
      <c r="C556" s="79"/>
      <c r="D556" s="75"/>
      <c r="E556" s="90"/>
      <c r="F556" s="81"/>
    </row>
    <row r="557" spans="1:6" x14ac:dyDescent="0.25">
      <c r="A557" s="72"/>
      <c r="B557" s="73">
        <f t="shared" si="9"/>
        <v>0</v>
      </c>
      <c r="C557" s="79"/>
      <c r="D557" s="75"/>
      <c r="E557" s="90"/>
      <c r="F557" s="81"/>
    </row>
    <row r="558" spans="1:6" x14ac:dyDescent="0.25">
      <c r="A558" s="72"/>
      <c r="B558" s="73">
        <f t="shared" si="9"/>
        <v>0</v>
      </c>
      <c r="C558" s="79"/>
      <c r="D558" s="75"/>
      <c r="E558" s="90"/>
      <c r="F558" s="81"/>
    </row>
    <row r="559" spans="1:6" x14ac:dyDescent="0.25">
      <c r="A559" s="72"/>
      <c r="B559" s="73">
        <f t="shared" si="9"/>
        <v>0</v>
      </c>
      <c r="C559" s="79"/>
      <c r="D559" s="75"/>
      <c r="E559" s="90"/>
      <c r="F559" s="81"/>
    </row>
    <row r="560" spans="1:6" x14ac:dyDescent="0.25">
      <c r="A560" s="72"/>
      <c r="B560" s="73">
        <f t="shared" si="9"/>
        <v>0</v>
      </c>
      <c r="C560" s="79"/>
      <c r="D560" s="75"/>
      <c r="E560" s="90"/>
      <c r="F560" s="81"/>
    </row>
    <row r="561" spans="1:6" x14ac:dyDescent="0.25">
      <c r="A561" s="72"/>
      <c r="B561" s="73">
        <f t="shared" si="9"/>
        <v>0</v>
      </c>
      <c r="C561" s="79"/>
      <c r="D561" s="75"/>
      <c r="E561" s="90"/>
      <c r="F561" s="81"/>
    </row>
    <row r="562" spans="1:6" x14ac:dyDescent="0.25">
      <c r="A562" s="72"/>
      <c r="B562" s="73">
        <f t="shared" si="9"/>
        <v>0</v>
      </c>
      <c r="C562" s="79"/>
      <c r="D562" s="75"/>
      <c r="E562" s="90"/>
      <c r="F562" s="81"/>
    </row>
    <row r="563" spans="1:6" x14ac:dyDescent="0.25">
      <c r="A563" s="72"/>
      <c r="B563" s="73">
        <f t="shared" si="9"/>
        <v>0</v>
      </c>
      <c r="C563" s="79"/>
      <c r="D563" s="75"/>
      <c r="E563" s="90"/>
      <c r="F563" s="81"/>
    </row>
    <row r="564" spans="1:6" x14ac:dyDescent="0.25">
      <c r="A564" s="72"/>
      <c r="B564" s="73">
        <f t="shared" si="9"/>
        <v>0</v>
      </c>
      <c r="C564" s="79"/>
      <c r="D564" s="75"/>
      <c r="E564" s="90"/>
      <c r="F564" s="81"/>
    </row>
    <row r="565" spans="1:6" x14ac:dyDescent="0.25">
      <c r="A565" s="72"/>
      <c r="B565" s="73">
        <f t="shared" si="9"/>
        <v>0</v>
      </c>
      <c r="C565" s="79"/>
      <c r="D565" s="75"/>
      <c r="E565" s="90"/>
      <c r="F565" s="81"/>
    </row>
    <row r="566" spans="1:6" x14ac:dyDescent="0.25">
      <c r="A566" s="72"/>
      <c r="B566" s="73">
        <f t="shared" si="9"/>
        <v>0</v>
      </c>
      <c r="C566" s="79"/>
      <c r="D566" s="75"/>
      <c r="E566" s="90"/>
      <c r="F566" s="81"/>
    </row>
    <row r="567" spans="1:6" x14ac:dyDescent="0.25">
      <c r="A567" s="72"/>
      <c r="B567" s="73">
        <f t="shared" si="9"/>
        <v>0</v>
      </c>
      <c r="C567" s="79"/>
      <c r="D567" s="75"/>
      <c r="E567" s="90"/>
      <c r="F567" s="81"/>
    </row>
    <row r="568" spans="1:6" x14ac:dyDescent="0.25">
      <c r="A568" s="72"/>
      <c r="B568" s="73">
        <f t="shared" si="9"/>
        <v>0</v>
      </c>
      <c r="C568" s="79"/>
      <c r="D568" s="75"/>
      <c r="E568" s="90"/>
      <c r="F568" s="81"/>
    </row>
    <row r="569" spans="1:6" x14ac:dyDescent="0.25">
      <c r="A569" s="72"/>
      <c r="B569" s="73">
        <f t="shared" si="9"/>
        <v>0</v>
      </c>
      <c r="C569" s="79"/>
      <c r="D569" s="75"/>
      <c r="E569" s="90"/>
      <c r="F569" s="81"/>
    </row>
    <row r="570" spans="1:6" x14ac:dyDescent="0.25">
      <c r="A570" s="72"/>
      <c r="B570" s="73">
        <f t="shared" si="9"/>
        <v>0</v>
      </c>
      <c r="C570" s="79"/>
      <c r="D570" s="75"/>
      <c r="E570" s="90"/>
      <c r="F570" s="81"/>
    </row>
    <row r="571" spans="1:6" x14ac:dyDescent="0.25">
      <c r="A571" s="72"/>
      <c r="B571" s="73">
        <f t="shared" si="9"/>
        <v>0</v>
      </c>
      <c r="C571" s="79"/>
      <c r="D571" s="75"/>
      <c r="E571" s="90"/>
      <c r="F571" s="81"/>
    </row>
    <row r="572" spans="1:6" x14ac:dyDescent="0.25">
      <c r="A572" s="72"/>
      <c r="B572" s="73">
        <f t="shared" si="9"/>
        <v>0</v>
      </c>
      <c r="C572" s="79"/>
      <c r="D572" s="75"/>
      <c r="E572" s="90"/>
      <c r="F572" s="81"/>
    </row>
    <row r="573" spans="1:6" x14ac:dyDescent="0.25">
      <c r="A573" s="72"/>
      <c r="B573" s="73">
        <f t="shared" si="9"/>
        <v>0</v>
      </c>
      <c r="C573" s="79"/>
      <c r="D573" s="75"/>
      <c r="E573" s="90"/>
      <c r="F573" s="81"/>
    </row>
    <row r="574" spans="1:6" x14ac:dyDescent="0.25">
      <c r="A574" s="72"/>
      <c r="B574" s="73">
        <f t="shared" si="9"/>
        <v>0</v>
      </c>
      <c r="C574" s="79"/>
      <c r="D574" s="75"/>
      <c r="E574" s="90"/>
      <c r="F574" s="81"/>
    </row>
    <row r="575" spans="1:6" x14ac:dyDescent="0.25">
      <c r="A575" s="72"/>
      <c r="B575" s="73">
        <f t="shared" si="9"/>
        <v>0</v>
      </c>
      <c r="C575" s="79"/>
      <c r="D575" s="75"/>
      <c r="E575" s="90"/>
      <c r="F575" s="81"/>
    </row>
    <row r="576" spans="1:6" x14ac:dyDescent="0.25">
      <c r="A576" s="72"/>
      <c r="B576" s="73">
        <f t="shared" si="9"/>
        <v>0</v>
      </c>
      <c r="C576" s="79"/>
      <c r="D576" s="75"/>
      <c r="E576" s="90"/>
      <c r="F576" s="81"/>
    </row>
    <row r="577" spans="1:6" x14ac:dyDescent="0.25">
      <c r="A577" s="72"/>
      <c r="B577" s="73">
        <f t="shared" si="9"/>
        <v>0</v>
      </c>
      <c r="C577" s="79"/>
      <c r="D577" s="75"/>
      <c r="E577" s="90"/>
      <c r="F577" s="81"/>
    </row>
    <row r="578" spans="1:6" x14ac:dyDescent="0.25">
      <c r="A578" s="72"/>
      <c r="B578" s="73">
        <f t="shared" si="9"/>
        <v>0</v>
      </c>
      <c r="C578" s="79"/>
      <c r="D578" s="75"/>
      <c r="E578" s="90"/>
      <c r="F578" s="81"/>
    </row>
    <row r="579" spans="1:6" x14ac:dyDescent="0.25">
      <c r="A579" s="72"/>
      <c r="B579" s="73">
        <f t="shared" si="9"/>
        <v>0</v>
      </c>
      <c r="C579" s="79"/>
      <c r="D579" s="75"/>
      <c r="E579" s="90"/>
      <c r="F579" s="81"/>
    </row>
    <row r="580" spans="1:6" x14ac:dyDescent="0.25">
      <c r="A580" s="72"/>
      <c r="B580" s="73">
        <f t="shared" si="9"/>
        <v>0</v>
      </c>
      <c r="C580" s="79"/>
      <c r="D580" s="75"/>
      <c r="E580" s="90"/>
      <c r="F580" s="81"/>
    </row>
    <row r="581" spans="1:6" x14ac:dyDescent="0.25">
      <c r="A581" s="72"/>
      <c r="B581" s="73">
        <f t="shared" si="9"/>
        <v>0</v>
      </c>
      <c r="C581" s="79"/>
      <c r="D581" s="75"/>
      <c r="E581" s="90"/>
      <c r="F581" s="81"/>
    </row>
    <row r="582" spans="1:6" x14ac:dyDescent="0.25">
      <c r="A582" s="72"/>
      <c r="B582" s="73">
        <f t="shared" si="9"/>
        <v>0</v>
      </c>
      <c r="C582" s="79"/>
      <c r="D582" s="75"/>
      <c r="E582" s="90"/>
      <c r="F582" s="81"/>
    </row>
    <row r="583" spans="1:6" x14ac:dyDescent="0.25">
      <c r="A583" s="72"/>
      <c r="B583" s="73">
        <f t="shared" si="9"/>
        <v>0</v>
      </c>
      <c r="C583" s="79"/>
      <c r="D583" s="75"/>
      <c r="E583" s="90"/>
      <c r="F583" s="81"/>
    </row>
    <row r="584" spans="1:6" x14ac:dyDescent="0.25">
      <c r="A584" s="72"/>
      <c r="B584" s="73">
        <f t="shared" si="9"/>
        <v>0</v>
      </c>
      <c r="C584" s="79"/>
      <c r="D584" s="75"/>
      <c r="E584" s="90"/>
      <c r="F584" s="81"/>
    </row>
    <row r="585" spans="1:6" x14ac:dyDescent="0.25">
      <c r="A585" s="72"/>
      <c r="B585" s="73">
        <f t="shared" si="9"/>
        <v>0</v>
      </c>
      <c r="C585" s="79"/>
      <c r="D585" s="75"/>
      <c r="E585" s="90"/>
      <c r="F585" s="81"/>
    </row>
    <row r="586" spans="1:6" x14ac:dyDescent="0.25">
      <c r="A586" s="72"/>
      <c r="B586" s="73">
        <f t="shared" si="9"/>
        <v>0</v>
      </c>
      <c r="C586" s="79"/>
      <c r="D586" s="75"/>
      <c r="E586" s="90"/>
      <c r="F586" s="81"/>
    </row>
    <row r="587" spans="1:6" x14ac:dyDescent="0.25">
      <c r="A587" s="72"/>
      <c r="B587" s="73">
        <f t="shared" si="9"/>
        <v>0</v>
      </c>
      <c r="C587" s="79"/>
      <c r="D587" s="75"/>
      <c r="E587" s="90"/>
      <c r="F587" s="81"/>
    </row>
    <row r="588" spans="1:6" x14ac:dyDescent="0.25">
      <c r="A588" s="72"/>
      <c r="B588" s="73">
        <f t="shared" si="9"/>
        <v>0</v>
      </c>
      <c r="C588" s="79"/>
      <c r="D588" s="75"/>
      <c r="E588" s="90"/>
      <c r="F588" s="81"/>
    </row>
    <row r="589" spans="1:6" x14ac:dyDescent="0.25">
      <c r="A589" s="72"/>
      <c r="B589" s="73">
        <f t="shared" si="9"/>
        <v>0</v>
      </c>
      <c r="C589" s="79"/>
      <c r="D589" s="75"/>
      <c r="E589" s="90"/>
      <c r="F589" s="81"/>
    </row>
    <row r="590" spans="1:6" x14ac:dyDescent="0.25">
      <c r="A590" s="72"/>
      <c r="B590" s="73">
        <f t="shared" si="9"/>
        <v>0</v>
      </c>
      <c r="C590" s="79"/>
      <c r="D590" s="75"/>
      <c r="E590" s="90"/>
      <c r="F590" s="81"/>
    </row>
    <row r="591" spans="1:6" x14ac:dyDescent="0.25">
      <c r="A591" s="72"/>
      <c r="B591" s="73">
        <f t="shared" si="9"/>
        <v>0</v>
      </c>
      <c r="C591" s="79"/>
      <c r="D591" s="75"/>
      <c r="E591" s="90"/>
      <c r="F591" s="81"/>
    </row>
    <row r="592" spans="1:6" x14ac:dyDescent="0.25">
      <c r="A592" s="72"/>
      <c r="B592" s="73">
        <f t="shared" si="9"/>
        <v>0</v>
      </c>
      <c r="C592" s="79"/>
      <c r="D592" s="75"/>
      <c r="E592" s="90"/>
      <c r="F592" s="81"/>
    </row>
    <row r="593" spans="1:6" x14ac:dyDescent="0.25">
      <c r="A593" s="72"/>
      <c r="B593" s="73">
        <f t="shared" si="9"/>
        <v>0</v>
      </c>
      <c r="C593" s="79"/>
      <c r="D593" s="75"/>
      <c r="E593" s="90"/>
      <c r="F593" s="81"/>
    </row>
    <row r="594" spans="1:6" x14ac:dyDescent="0.25">
      <c r="A594" s="72"/>
      <c r="B594" s="73">
        <f t="shared" si="9"/>
        <v>0</v>
      </c>
      <c r="C594" s="79"/>
      <c r="D594" s="75"/>
      <c r="E594" s="90"/>
      <c r="F594" s="81"/>
    </row>
    <row r="595" spans="1:6" x14ac:dyDescent="0.25">
      <c r="A595" s="72"/>
      <c r="B595" s="73">
        <f t="shared" ref="B595:B658" si="10">WEEKNUM(A595,1)</f>
        <v>0</v>
      </c>
      <c r="C595" s="79"/>
      <c r="D595" s="75"/>
      <c r="E595" s="90"/>
      <c r="F595" s="81"/>
    </row>
    <row r="596" spans="1:6" x14ac:dyDescent="0.25">
      <c r="A596" s="72"/>
      <c r="B596" s="73">
        <f t="shared" si="10"/>
        <v>0</v>
      </c>
      <c r="C596" s="79"/>
      <c r="D596" s="75"/>
      <c r="E596" s="90"/>
      <c r="F596" s="81"/>
    </row>
    <row r="597" spans="1:6" x14ac:dyDescent="0.25">
      <c r="A597" s="72"/>
      <c r="B597" s="73">
        <f t="shared" si="10"/>
        <v>0</v>
      </c>
      <c r="C597" s="79"/>
      <c r="D597" s="75"/>
      <c r="E597" s="90"/>
      <c r="F597" s="81"/>
    </row>
    <row r="598" spans="1:6" x14ac:dyDescent="0.25">
      <c r="A598" s="72"/>
      <c r="B598" s="73">
        <f t="shared" si="10"/>
        <v>0</v>
      </c>
      <c r="C598" s="79"/>
      <c r="D598" s="75"/>
      <c r="E598" s="90"/>
      <c r="F598" s="81"/>
    </row>
    <row r="599" spans="1:6" x14ac:dyDescent="0.25">
      <c r="A599" s="72"/>
      <c r="B599" s="73">
        <f t="shared" si="10"/>
        <v>0</v>
      </c>
      <c r="C599" s="79"/>
      <c r="D599" s="75"/>
      <c r="E599" s="90"/>
      <c r="F599" s="81"/>
    </row>
    <row r="600" spans="1:6" x14ac:dyDescent="0.25">
      <c r="A600" s="72"/>
      <c r="B600" s="73">
        <f t="shared" si="10"/>
        <v>0</v>
      </c>
      <c r="C600" s="79"/>
      <c r="D600" s="75"/>
      <c r="E600" s="90"/>
      <c r="F600" s="81"/>
    </row>
    <row r="601" spans="1:6" x14ac:dyDescent="0.25">
      <c r="A601" s="72"/>
      <c r="B601" s="73">
        <f t="shared" si="10"/>
        <v>0</v>
      </c>
      <c r="C601" s="79"/>
      <c r="D601" s="75"/>
      <c r="E601" s="90"/>
      <c r="F601" s="81"/>
    </row>
    <row r="602" spans="1:6" x14ac:dyDescent="0.25">
      <c r="A602" s="72"/>
      <c r="B602" s="73">
        <f t="shared" si="10"/>
        <v>0</v>
      </c>
      <c r="C602" s="79"/>
      <c r="D602" s="75"/>
      <c r="E602" s="90"/>
      <c r="F602" s="81"/>
    </row>
    <row r="603" spans="1:6" x14ac:dyDescent="0.25">
      <c r="A603" s="72"/>
      <c r="B603" s="73">
        <f t="shared" si="10"/>
        <v>0</v>
      </c>
      <c r="C603" s="79"/>
      <c r="D603" s="75"/>
      <c r="E603" s="90"/>
      <c r="F603" s="81"/>
    </row>
    <row r="604" spans="1:6" x14ac:dyDescent="0.25">
      <c r="A604" s="72"/>
      <c r="B604" s="73">
        <f t="shared" si="10"/>
        <v>0</v>
      </c>
      <c r="C604" s="79"/>
      <c r="D604" s="75"/>
      <c r="E604" s="90"/>
      <c r="F604" s="81"/>
    </row>
    <row r="605" spans="1:6" x14ac:dyDescent="0.25">
      <c r="A605" s="72"/>
      <c r="B605" s="73">
        <f t="shared" si="10"/>
        <v>0</v>
      </c>
      <c r="C605" s="79"/>
      <c r="D605" s="75"/>
      <c r="E605" s="90"/>
      <c r="F605" s="81"/>
    </row>
    <row r="606" spans="1:6" x14ac:dyDescent="0.25">
      <c r="A606" s="72"/>
      <c r="B606" s="73">
        <f t="shared" si="10"/>
        <v>0</v>
      </c>
      <c r="C606" s="79"/>
      <c r="D606" s="75"/>
      <c r="E606" s="90"/>
      <c r="F606" s="81"/>
    </row>
    <row r="607" spans="1:6" x14ac:dyDescent="0.25">
      <c r="A607" s="72"/>
      <c r="B607" s="73">
        <f t="shared" si="10"/>
        <v>0</v>
      </c>
      <c r="C607" s="79"/>
      <c r="D607" s="75"/>
      <c r="E607" s="90"/>
      <c r="F607" s="81"/>
    </row>
    <row r="608" spans="1:6" x14ac:dyDescent="0.25">
      <c r="A608" s="72"/>
      <c r="B608" s="73">
        <f t="shared" si="10"/>
        <v>0</v>
      </c>
      <c r="C608" s="79"/>
      <c r="D608" s="75"/>
      <c r="E608" s="90"/>
      <c r="F608" s="81"/>
    </row>
    <row r="609" spans="1:6" x14ac:dyDescent="0.25">
      <c r="A609" s="72"/>
      <c r="B609" s="73">
        <f t="shared" si="10"/>
        <v>0</v>
      </c>
      <c r="C609" s="79"/>
      <c r="D609" s="75"/>
      <c r="E609" s="90"/>
      <c r="F609" s="81"/>
    </row>
    <row r="610" spans="1:6" x14ac:dyDescent="0.25">
      <c r="A610" s="72"/>
      <c r="B610" s="73">
        <f t="shared" si="10"/>
        <v>0</v>
      </c>
      <c r="C610" s="79"/>
      <c r="D610" s="75"/>
      <c r="E610" s="90"/>
      <c r="F610" s="81"/>
    </row>
    <row r="611" spans="1:6" x14ac:dyDescent="0.25">
      <c r="A611" s="72"/>
      <c r="B611" s="73">
        <f t="shared" si="10"/>
        <v>0</v>
      </c>
      <c r="C611" s="79"/>
      <c r="D611" s="75"/>
      <c r="E611" s="90"/>
      <c r="F611" s="81"/>
    </row>
    <row r="612" spans="1:6" x14ac:dyDescent="0.25">
      <c r="A612" s="72"/>
      <c r="B612" s="73">
        <f t="shared" si="10"/>
        <v>0</v>
      </c>
      <c r="C612" s="79"/>
      <c r="D612" s="75"/>
      <c r="E612" s="90"/>
      <c r="F612" s="81"/>
    </row>
    <row r="613" spans="1:6" x14ac:dyDescent="0.25">
      <c r="A613" s="72"/>
      <c r="B613" s="73">
        <f t="shared" si="10"/>
        <v>0</v>
      </c>
      <c r="C613" s="79"/>
      <c r="D613" s="75"/>
      <c r="E613" s="90"/>
      <c r="F613" s="81"/>
    </row>
    <row r="614" spans="1:6" x14ac:dyDescent="0.25">
      <c r="A614" s="72"/>
      <c r="B614" s="73">
        <f t="shared" si="10"/>
        <v>0</v>
      </c>
      <c r="C614" s="79"/>
      <c r="D614" s="75"/>
      <c r="E614" s="90"/>
      <c r="F614" s="81"/>
    </row>
    <row r="615" spans="1:6" x14ac:dyDescent="0.25">
      <c r="A615" s="72"/>
      <c r="B615" s="73">
        <f t="shared" si="10"/>
        <v>0</v>
      </c>
      <c r="C615" s="79"/>
      <c r="D615" s="75"/>
      <c r="E615" s="90"/>
      <c r="F615" s="81"/>
    </row>
    <row r="616" spans="1:6" x14ac:dyDescent="0.25">
      <c r="A616" s="72"/>
      <c r="B616" s="73">
        <f t="shared" si="10"/>
        <v>0</v>
      </c>
      <c r="C616" s="79"/>
      <c r="D616" s="75"/>
      <c r="E616" s="90"/>
      <c r="F616" s="81"/>
    </row>
    <row r="617" spans="1:6" x14ac:dyDescent="0.25">
      <c r="A617" s="72"/>
      <c r="B617" s="73">
        <f t="shared" si="10"/>
        <v>0</v>
      </c>
      <c r="C617" s="79"/>
      <c r="D617" s="75"/>
      <c r="E617" s="90"/>
      <c r="F617" s="81"/>
    </row>
    <row r="618" spans="1:6" x14ac:dyDescent="0.25">
      <c r="A618" s="72"/>
      <c r="B618" s="73">
        <f t="shared" si="10"/>
        <v>0</v>
      </c>
      <c r="C618" s="79"/>
      <c r="D618" s="75"/>
      <c r="E618" s="90"/>
      <c r="F618" s="81"/>
    </row>
    <row r="619" spans="1:6" x14ac:dyDescent="0.25">
      <c r="A619" s="72"/>
      <c r="B619" s="73">
        <f t="shared" si="10"/>
        <v>0</v>
      </c>
      <c r="C619" s="79"/>
      <c r="D619" s="75"/>
      <c r="E619" s="90"/>
      <c r="F619" s="81"/>
    </row>
    <row r="620" spans="1:6" x14ac:dyDescent="0.25">
      <c r="A620" s="72"/>
      <c r="B620" s="73">
        <f t="shared" si="10"/>
        <v>0</v>
      </c>
      <c r="C620" s="79"/>
      <c r="D620" s="75"/>
      <c r="E620" s="90"/>
      <c r="F620" s="81"/>
    </row>
    <row r="621" spans="1:6" x14ac:dyDescent="0.25">
      <c r="A621" s="72"/>
      <c r="B621" s="73">
        <f t="shared" si="10"/>
        <v>0</v>
      </c>
      <c r="C621" s="79"/>
      <c r="D621" s="75"/>
      <c r="E621" s="90"/>
      <c r="F621" s="81"/>
    </row>
    <row r="622" spans="1:6" x14ac:dyDescent="0.25">
      <c r="A622" s="72"/>
      <c r="B622" s="73">
        <f t="shared" si="10"/>
        <v>0</v>
      </c>
      <c r="C622" s="79"/>
      <c r="D622" s="75"/>
      <c r="E622" s="90"/>
      <c r="F622" s="81"/>
    </row>
    <row r="623" spans="1:6" x14ac:dyDescent="0.25">
      <c r="A623" s="72"/>
      <c r="B623" s="73">
        <f t="shared" si="10"/>
        <v>0</v>
      </c>
      <c r="C623" s="79"/>
      <c r="D623" s="75"/>
      <c r="E623" s="90"/>
      <c r="F623" s="81"/>
    </row>
    <row r="624" spans="1:6" x14ac:dyDescent="0.25">
      <c r="A624" s="72"/>
      <c r="B624" s="73">
        <f t="shared" si="10"/>
        <v>0</v>
      </c>
      <c r="C624" s="79"/>
      <c r="D624" s="75"/>
      <c r="E624" s="90"/>
      <c r="F624" s="81"/>
    </row>
    <row r="625" spans="1:6" x14ac:dyDescent="0.25">
      <c r="A625" s="72"/>
      <c r="B625" s="73">
        <f t="shared" si="10"/>
        <v>0</v>
      </c>
      <c r="C625" s="79"/>
      <c r="D625" s="75"/>
      <c r="E625" s="90"/>
      <c r="F625" s="81"/>
    </row>
    <row r="626" spans="1:6" x14ac:dyDescent="0.25">
      <c r="A626" s="72"/>
      <c r="B626" s="73">
        <f t="shared" si="10"/>
        <v>0</v>
      </c>
      <c r="C626" s="79"/>
      <c r="D626" s="75"/>
      <c r="E626" s="90"/>
      <c r="F626" s="81"/>
    </row>
    <row r="627" spans="1:6" x14ac:dyDescent="0.25">
      <c r="A627" s="72"/>
      <c r="B627" s="73">
        <f t="shared" si="10"/>
        <v>0</v>
      </c>
      <c r="C627" s="79"/>
      <c r="D627" s="75"/>
      <c r="E627" s="90"/>
      <c r="F627" s="81"/>
    </row>
    <row r="628" spans="1:6" x14ac:dyDescent="0.25">
      <c r="A628" s="72"/>
      <c r="B628" s="73">
        <f t="shared" si="10"/>
        <v>0</v>
      </c>
      <c r="C628" s="79"/>
      <c r="D628" s="75"/>
      <c r="E628" s="90"/>
      <c r="F628" s="81"/>
    </row>
    <row r="629" spans="1:6" x14ac:dyDescent="0.25">
      <c r="A629" s="72"/>
      <c r="B629" s="73">
        <f t="shared" si="10"/>
        <v>0</v>
      </c>
      <c r="C629" s="79"/>
      <c r="D629" s="75"/>
      <c r="E629" s="90"/>
      <c r="F629" s="81"/>
    </row>
    <row r="630" spans="1:6" x14ac:dyDescent="0.25">
      <c r="A630" s="72"/>
      <c r="B630" s="73">
        <f t="shared" si="10"/>
        <v>0</v>
      </c>
      <c r="C630" s="79"/>
      <c r="D630" s="75"/>
      <c r="E630" s="90"/>
      <c r="F630" s="81"/>
    </row>
    <row r="631" spans="1:6" x14ac:dyDescent="0.25">
      <c r="A631" s="72"/>
      <c r="B631" s="73">
        <f t="shared" si="10"/>
        <v>0</v>
      </c>
      <c r="C631" s="79"/>
      <c r="D631" s="75"/>
      <c r="E631" s="90"/>
      <c r="F631" s="81"/>
    </row>
    <row r="632" spans="1:6" x14ac:dyDescent="0.25">
      <c r="A632" s="72"/>
      <c r="B632" s="73">
        <f t="shared" si="10"/>
        <v>0</v>
      </c>
      <c r="C632" s="79"/>
      <c r="D632" s="75"/>
      <c r="E632" s="90"/>
      <c r="F632" s="81"/>
    </row>
    <row r="633" spans="1:6" x14ac:dyDescent="0.25">
      <c r="A633" s="72"/>
      <c r="B633" s="73">
        <f t="shared" si="10"/>
        <v>0</v>
      </c>
      <c r="C633" s="79"/>
      <c r="D633" s="75"/>
      <c r="E633" s="90"/>
      <c r="F633" s="81"/>
    </row>
    <row r="634" spans="1:6" x14ac:dyDescent="0.25">
      <c r="A634" s="72"/>
      <c r="B634" s="73">
        <f t="shared" si="10"/>
        <v>0</v>
      </c>
      <c r="C634" s="79"/>
      <c r="D634" s="75"/>
      <c r="E634" s="90"/>
      <c r="F634" s="81"/>
    </row>
    <row r="635" spans="1:6" x14ac:dyDescent="0.25">
      <c r="A635" s="72"/>
      <c r="B635" s="73">
        <f t="shared" si="10"/>
        <v>0</v>
      </c>
      <c r="C635" s="79"/>
      <c r="D635" s="75"/>
      <c r="E635" s="90"/>
      <c r="F635" s="81"/>
    </row>
    <row r="636" spans="1:6" x14ac:dyDescent="0.25">
      <c r="A636" s="72"/>
      <c r="B636" s="73">
        <f t="shared" si="10"/>
        <v>0</v>
      </c>
      <c r="C636" s="79"/>
      <c r="D636" s="75"/>
      <c r="E636" s="90"/>
      <c r="F636" s="81"/>
    </row>
    <row r="637" spans="1:6" x14ac:dyDescent="0.25">
      <c r="A637" s="72"/>
      <c r="B637" s="73">
        <f t="shared" si="10"/>
        <v>0</v>
      </c>
      <c r="C637" s="79"/>
      <c r="D637" s="75"/>
      <c r="E637" s="90"/>
      <c r="F637" s="81"/>
    </row>
    <row r="638" spans="1:6" x14ac:dyDescent="0.25">
      <c r="A638" s="72"/>
      <c r="B638" s="73">
        <f t="shared" si="10"/>
        <v>0</v>
      </c>
      <c r="C638" s="79"/>
      <c r="D638" s="75"/>
      <c r="E638" s="90"/>
      <c r="F638" s="81"/>
    </row>
    <row r="639" spans="1:6" x14ac:dyDescent="0.25">
      <c r="A639" s="72"/>
      <c r="B639" s="73">
        <f t="shared" si="10"/>
        <v>0</v>
      </c>
      <c r="C639" s="79"/>
      <c r="D639" s="75"/>
      <c r="E639" s="90"/>
      <c r="F639" s="81"/>
    </row>
    <row r="640" spans="1:6" x14ac:dyDescent="0.25">
      <c r="A640" s="72"/>
      <c r="B640" s="73">
        <f t="shared" si="10"/>
        <v>0</v>
      </c>
      <c r="C640" s="79"/>
      <c r="D640" s="75"/>
      <c r="E640" s="90"/>
      <c r="F640" s="81"/>
    </row>
    <row r="641" spans="1:6" x14ac:dyDescent="0.25">
      <c r="A641" s="72"/>
      <c r="B641" s="73">
        <f t="shared" si="10"/>
        <v>0</v>
      </c>
      <c r="C641" s="79"/>
      <c r="D641" s="75"/>
      <c r="E641" s="90"/>
      <c r="F641" s="81"/>
    </row>
    <row r="642" spans="1:6" x14ac:dyDescent="0.25">
      <c r="A642" s="72"/>
      <c r="B642" s="73">
        <f t="shared" si="10"/>
        <v>0</v>
      </c>
      <c r="C642" s="79"/>
      <c r="D642" s="75"/>
      <c r="E642" s="90"/>
      <c r="F642" s="81"/>
    </row>
    <row r="643" spans="1:6" x14ac:dyDescent="0.25">
      <c r="A643" s="72"/>
      <c r="B643" s="73">
        <f t="shared" si="10"/>
        <v>0</v>
      </c>
      <c r="C643" s="79"/>
      <c r="D643" s="75"/>
      <c r="E643" s="90"/>
      <c r="F643" s="81"/>
    </row>
    <row r="644" spans="1:6" x14ac:dyDescent="0.25">
      <c r="A644" s="72"/>
      <c r="B644" s="73">
        <f t="shared" si="10"/>
        <v>0</v>
      </c>
      <c r="C644" s="79"/>
      <c r="D644" s="75"/>
      <c r="E644" s="90"/>
      <c r="F644" s="81"/>
    </row>
    <row r="645" spans="1:6" x14ac:dyDescent="0.25">
      <c r="A645" s="72"/>
      <c r="B645" s="73">
        <f t="shared" si="10"/>
        <v>0</v>
      </c>
      <c r="C645" s="79"/>
      <c r="D645" s="75"/>
      <c r="E645" s="90"/>
      <c r="F645" s="81"/>
    </row>
    <row r="646" spans="1:6" x14ac:dyDescent="0.25">
      <c r="A646" s="72"/>
      <c r="B646" s="73">
        <f t="shared" si="10"/>
        <v>0</v>
      </c>
      <c r="C646" s="79"/>
      <c r="D646" s="75"/>
      <c r="E646" s="90"/>
      <c r="F646" s="81"/>
    </row>
    <row r="647" spans="1:6" x14ac:dyDescent="0.25">
      <c r="A647" s="72"/>
      <c r="B647" s="73">
        <f t="shared" si="10"/>
        <v>0</v>
      </c>
      <c r="C647" s="79"/>
      <c r="D647" s="75"/>
      <c r="E647" s="90"/>
      <c r="F647" s="81"/>
    </row>
    <row r="648" spans="1:6" x14ac:dyDescent="0.25">
      <c r="A648" s="72"/>
      <c r="B648" s="73">
        <f t="shared" si="10"/>
        <v>0</v>
      </c>
      <c r="C648" s="79"/>
      <c r="D648" s="75"/>
      <c r="E648" s="90"/>
      <c r="F648" s="81"/>
    </row>
    <row r="649" spans="1:6" x14ac:dyDescent="0.25">
      <c r="A649" s="72"/>
      <c r="B649" s="73">
        <f t="shared" si="10"/>
        <v>0</v>
      </c>
      <c r="C649" s="79"/>
      <c r="D649" s="75"/>
      <c r="E649" s="90"/>
      <c r="F649" s="81"/>
    </row>
    <row r="650" spans="1:6" x14ac:dyDescent="0.25">
      <c r="A650" s="72"/>
      <c r="B650" s="73">
        <f t="shared" si="10"/>
        <v>0</v>
      </c>
      <c r="C650" s="79"/>
      <c r="D650" s="75"/>
      <c r="E650" s="90"/>
      <c r="F650" s="81"/>
    </row>
    <row r="651" spans="1:6" x14ac:dyDescent="0.25">
      <c r="A651" s="72"/>
      <c r="B651" s="73">
        <f t="shared" si="10"/>
        <v>0</v>
      </c>
      <c r="C651" s="79"/>
      <c r="D651" s="75"/>
      <c r="E651" s="90"/>
      <c r="F651" s="81"/>
    </row>
    <row r="652" spans="1:6" x14ac:dyDescent="0.25">
      <c r="A652" s="72"/>
      <c r="B652" s="73">
        <f t="shared" si="10"/>
        <v>0</v>
      </c>
      <c r="C652" s="79"/>
      <c r="D652" s="75"/>
      <c r="E652" s="90"/>
      <c r="F652" s="81"/>
    </row>
    <row r="653" spans="1:6" x14ac:dyDescent="0.25">
      <c r="A653" s="72"/>
      <c r="B653" s="73">
        <f t="shared" si="10"/>
        <v>0</v>
      </c>
      <c r="C653" s="79"/>
      <c r="D653" s="75"/>
      <c r="E653" s="90"/>
      <c r="F653" s="81"/>
    </row>
    <row r="654" spans="1:6" x14ac:dyDescent="0.25">
      <c r="A654" s="72"/>
      <c r="B654" s="73">
        <f t="shared" si="10"/>
        <v>0</v>
      </c>
      <c r="C654" s="79"/>
      <c r="D654" s="75"/>
      <c r="E654" s="90"/>
      <c r="F654" s="81"/>
    </row>
    <row r="655" spans="1:6" x14ac:dyDescent="0.25">
      <c r="A655" s="72"/>
      <c r="B655" s="73">
        <f t="shared" si="10"/>
        <v>0</v>
      </c>
      <c r="C655" s="79"/>
      <c r="D655" s="75"/>
      <c r="E655" s="90"/>
      <c r="F655" s="81"/>
    </row>
    <row r="656" spans="1:6" x14ac:dyDescent="0.25">
      <c r="A656" s="72"/>
      <c r="B656" s="73">
        <f t="shared" si="10"/>
        <v>0</v>
      </c>
      <c r="C656" s="79"/>
      <c r="D656" s="75"/>
      <c r="E656" s="90"/>
      <c r="F656" s="81"/>
    </row>
    <row r="657" spans="1:6" x14ac:dyDescent="0.25">
      <c r="A657" s="72"/>
      <c r="B657" s="73">
        <f t="shared" si="10"/>
        <v>0</v>
      </c>
      <c r="C657" s="79"/>
      <c r="D657" s="75"/>
      <c r="E657" s="90"/>
      <c r="F657" s="81"/>
    </row>
    <row r="658" spans="1:6" x14ac:dyDescent="0.25">
      <c r="A658" s="72"/>
      <c r="B658" s="73">
        <f t="shared" si="10"/>
        <v>0</v>
      </c>
      <c r="C658" s="79"/>
      <c r="D658" s="75"/>
      <c r="E658" s="90"/>
      <c r="F658" s="81"/>
    </row>
    <row r="659" spans="1:6" x14ac:dyDescent="0.25">
      <c r="A659" s="72"/>
      <c r="B659" s="73">
        <f t="shared" ref="B659:B722" si="11">WEEKNUM(A659,1)</f>
        <v>0</v>
      </c>
      <c r="C659" s="79"/>
      <c r="D659" s="75"/>
      <c r="E659" s="90"/>
      <c r="F659" s="81"/>
    </row>
    <row r="660" spans="1:6" x14ac:dyDescent="0.25">
      <c r="A660" s="72"/>
      <c r="B660" s="73">
        <f t="shared" si="11"/>
        <v>0</v>
      </c>
      <c r="C660" s="79"/>
      <c r="D660" s="75"/>
      <c r="E660" s="90"/>
      <c r="F660" s="81"/>
    </row>
    <row r="661" spans="1:6" x14ac:dyDescent="0.25">
      <c r="A661" s="72"/>
      <c r="B661" s="73">
        <f t="shared" si="11"/>
        <v>0</v>
      </c>
      <c r="C661" s="79"/>
      <c r="D661" s="75"/>
      <c r="E661" s="90"/>
      <c r="F661" s="81"/>
    </row>
    <row r="662" spans="1:6" x14ac:dyDescent="0.25">
      <c r="A662" s="72"/>
      <c r="B662" s="73">
        <f t="shared" si="11"/>
        <v>0</v>
      </c>
      <c r="C662" s="79"/>
      <c r="D662" s="75"/>
      <c r="E662" s="90"/>
      <c r="F662" s="81"/>
    </row>
    <row r="663" spans="1:6" x14ac:dyDescent="0.25">
      <c r="A663" s="72"/>
      <c r="B663" s="73">
        <f t="shared" si="11"/>
        <v>0</v>
      </c>
      <c r="C663" s="79"/>
      <c r="D663" s="75"/>
      <c r="E663" s="90"/>
      <c r="F663" s="81"/>
    </row>
    <row r="664" spans="1:6" x14ac:dyDescent="0.25">
      <c r="A664" s="72"/>
      <c r="B664" s="73">
        <f t="shared" si="11"/>
        <v>0</v>
      </c>
      <c r="C664" s="79"/>
      <c r="D664" s="75"/>
      <c r="E664" s="90"/>
      <c r="F664" s="81"/>
    </row>
    <row r="665" spans="1:6" x14ac:dyDescent="0.25">
      <c r="A665" s="72"/>
      <c r="B665" s="73">
        <f t="shared" si="11"/>
        <v>0</v>
      </c>
      <c r="C665" s="79"/>
      <c r="D665" s="75"/>
      <c r="E665" s="90"/>
      <c r="F665" s="81"/>
    </row>
    <row r="666" spans="1:6" x14ac:dyDescent="0.25">
      <c r="A666" s="72"/>
      <c r="B666" s="73">
        <f t="shared" si="11"/>
        <v>0</v>
      </c>
      <c r="C666" s="79"/>
      <c r="D666" s="75"/>
      <c r="E666" s="90"/>
      <c r="F666" s="81"/>
    </row>
    <row r="667" spans="1:6" x14ac:dyDescent="0.25">
      <c r="A667" s="72"/>
      <c r="B667" s="73">
        <f t="shared" si="11"/>
        <v>0</v>
      </c>
      <c r="C667" s="79"/>
      <c r="D667" s="75"/>
      <c r="E667" s="90"/>
      <c r="F667" s="81"/>
    </row>
    <row r="668" spans="1:6" x14ac:dyDescent="0.25">
      <c r="A668" s="72"/>
      <c r="B668" s="73">
        <f t="shared" si="11"/>
        <v>0</v>
      </c>
      <c r="C668" s="79"/>
      <c r="D668" s="75"/>
      <c r="E668" s="90"/>
      <c r="F668" s="81"/>
    </row>
    <row r="669" spans="1:6" x14ac:dyDescent="0.25">
      <c r="A669" s="72"/>
      <c r="B669" s="73">
        <f t="shared" si="11"/>
        <v>0</v>
      </c>
      <c r="C669" s="79"/>
      <c r="D669" s="75"/>
      <c r="E669" s="90"/>
      <c r="F669" s="81"/>
    </row>
    <row r="670" spans="1:6" x14ac:dyDescent="0.25">
      <c r="A670" s="72"/>
      <c r="B670" s="73">
        <f t="shared" si="11"/>
        <v>0</v>
      </c>
      <c r="C670" s="79"/>
      <c r="D670" s="75"/>
      <c r="E670" s="90"/>
      <c r="F670" s="81"/>
    </row>
    <row r="671" spans="1:6" x14ac:dyDescent="0.25">
      <c r="A671" s="72"/>
      <c r="B671" s="73">
        <f t="shared" si="11"/>
        <v>0</v>
      </c>
      <c r="C671" s="79"/>
      <c r="D671" s="75"/>
      <c r="E671" s="90"/>
      <c r="F671" s="81"/>
    </row>
    <row r="672" spans="1:6" x14ac:dyDescent="0.25">
      <c r="A672" s="72"/>
      <c r="B672" s="73">
        <f t="shared" si="11"/>
        <v>0</v>
      </c>
      <c r="C672" s="79"/>
      <c r="D672" s="75"/>
      <c r="E672" s="90"/>
      <c r="F672" s="81"/>
    </row>
    <row r="673" spans="1:6" x14ac:dyDescent="0.25">
      <c r="A673" s="72"/>
      <c r="B673" s="73">
        <f t="shared" si="11"/>
        <v>0</v>
      </c>
      <c r="C673" s="79"/>
      <c r="D673" s="75"/>
      <c r="E673" s="90"/>
      <c r="F673" s="81"/>
    </row>
    <row r="674" spans="1:6" x14ac:dyDescent="0.25">
      <c r="A674" s="72"/>
      <c r="B674" s="73">
        <f t="shared" si="11"/>
        <v>0</v>
      </c>
      <c r="C674" s="79"/>
      <c r="D674" s="75"/>
      <c r="E674" s="90"/>
      <c r="F674" s="81"/>
    </row>
    <row r="675" spans="1:6" x14ac:dyDescent="0.25">
      <c r="A675" s="72"/>
      <c r="B675" s="73">
        <f t="shared" si="11"/>
        <v>0</v>
      </c>
      <c r="C675" s="79"/>
      <c r="D675" s="75"/>
      <c r="E675" s="90"/>
      <c r="F675" s="81"/>
    </row>
    <row r="676" spans="1:6" x14ac:dyDescent="0.25">
      <c r="A676" s="72"/>
      <c r="B676" s="73">
        <f t="shared" si="11"/>
        <v>0</v>
      </c>
      <c r="C676" s="79"/>
      <c r="D676" s="75"/>
      <c r="E676" s="90"/>
      <c r="F676" s="81"/>
    </row>
    <row r="677" spans="1:6" x14ac:dyDescent="0.25">
      <c r="A677" s="72"/>
      <c r="B677" s="73">
        <f t="shared" si="11"/>
        <v>0</v>
      </c>
      <c r="C677" s="79"/>
      <c r="D677" s="75"/>
      <c r="E677" s="90"/>
      <c r="F677" s="81"/>
    </row>
    <row r="678" spans="1:6" x14ac:dyDescent="0.25">
      <c r="A678" s="72"/>
      <c r="B678" s="73">
        <f t="shared" si="11"/>
        <v>0</v>
      </c>
      <c r="C678" s="79"/>
      <c r="D678" s="75"/>
      <c r="E678" s="90"/>
      <c r="F678" s="81"/>
    </row>
    <row r="679" spans="1:6" x14ac:dyDescent="0.25">
      <c r="A679" s="72"/>
      <c r="B679" s="73">
        <f t="shared" si="11"/>
        <v>0</v>
      </c>
      <c r="C679" s="79"/>
      <c r="D679" s="75"/>
      <c r="E679" s="90"/>
      <c r="F679" s="81"/>
    </row>
    <row r="680" spans="1:6" x14ac:dyDescent="0.25">
      <c r="A680" s="72"/>
      <c r="B680" s="73">
        <f t="shared" si="11"/>
        <v>0</v>
      </c>
      <c r="C680" s="79"/>
      <c r="D680" s="75"/>
      <c r="E680" s="90"/>
      <c r="F680" s="81"/>
    </row>
    <row r="681" spans="1:6" x14ac:dyDescent="0.25">
      <c r="A681" s="72"/>
      <c r="B681" s="73">
        <f t="shared" si="11"/>
        <v>0</v>
      </c>
      <c r="C681" s="79"/>
      <c r="D681" s="75"/>
      <c r="E681" s="90"/>
      <c r="F681" s="81"/>
    </row>
    <row r="682" spans="1:6" x14ac:dyDescent="0.25">
      <c r="A682" s="72"/>
      <c r="B682" s="73">
        <f t="shared" si="11"/>
        <v>0</v>
      </c>
      <c r="C682" s="79"/>
      <c r="D682" s="75"/>
      <c r="E682" s="90"/>
      <c r="F682" s="81"/>
    </row>
    <row r="683" spans="1:6" x14ac:dyDescent="0.25">
      <c r="A683" s="72"/>
      <c r="B683" s="73">
        <f t="shared" si="11"/>
        <v>0</v>
      </c>
      <c r="C683" s="79"/>
      <c r="D683" s="75"/>
      <c r="E683" s="90"/>
      <c r="F683" s="81"/>
    </row>
    <row r="684" spans="1:6" x14ac:dyDescent="0.25">
      <c r="A684" s="72"/>
      <c r="B684" s="73">
        <f t="shared" si="11"/>
        <v>0</v>
      </c>
      <c r="C684" s="79"/>
      <c r="D684" s="75"/>
      <c r="E684" s="90"/>
      <c r="F684" s="81"/>
    </row>
    <row r="685" spans="1:6" x14ac:dyDescent="0.25">
      <c r="A685" s="72"/>
      <c r="B685" s="73">
        <f t="shared" si="11"/>
        <v>0</v>
      </c>
      <c r="C685" s="79"/>
      <c r="D685" s="75"/>
      <c r="E685" s="90"/>
      <c r="F685" s="81"/>
    </row>
    <row r="686" spans="1:6" x14ac:dyDescent="0.25">
      <c r="A686" s="72"/>
      <c r="B686" s="73">
        <f t="shared" si="11"/>
        <v>0</v>
      </c>
      <c r="C686" s="79"/>
      <c r="D686" s="75"/>
      <c r="E686" s="90"/>
      <c r="F686" s="81"/>
    </row>
    <row r="687" spans="1:6" x14ac:dyDescent="0.25">
      <c r="A687" s="72"/>
      <c r="B687" s="73">
        <f t="shared" si="11"/>
        <v>0</v>
      </c>
      <c r="C687" s="79"/>
      <c r="D687" s="75"/>
      <c r="E687" s="90"/>
      <c r="F687" s="81"/>
    </row>
    <row r="688" spans="1:6" x14ac:dyDescent="0.25">
      <c r="A688" s="72"/>
      <c r="B688" s="73">
        <f t="shared" si="11"/>
        <v>0</v>
      </c>
      <c r="C688" s="79"/>
      <c r="D688" s="75"/>
      <c r="E688" s="90"/>
      <c r="F688" s="81"/>
    </row>
    <row r="689" spans="1:6" x14ac:dyDescent="0.25">
      <c r="A689" s="72"/>
      <c r="B689" s="73">
        <f t="shared" si="11"/>
        <v>0</v>
      </c>
      <c r="C689" s="79"/>
      <c r="D689" s="75"/>
      <c r="E689" s="90"/>
      <c r="F689" s="81"/>
    </row>
    <row r="690" spans="1:6" x14ac:dyDescent="0.25">
      <c r="A690" s="72"/>
      <c r="B690" s="73">
        <f t="shared" si="11"/>
        <v>0</v>
      </c>
      <c r="C690" s="79"/>
      <c r="D690" s="75"/>
      <c r="E690" s="90"/>
      <c r="F690" s="81"/>
    </row>
    <row r="691" spans="1:6" x14ac:dyDescent="0.25">
      <c r="A691" s="72"/>
      <c r="B691" s="73">
        <f t="shared" si="11"/>
        <v>0</v>
      </c>
      <c r="C691" s="79"/>
      <c r="D691" s="75"/>
      <c r="E691" s="90"/>
      <c r="F691" s="81"/>
    </row>
    <row r="692" spans="1:6" x14ac:dyDescent="0.25">
      <c r="A692" s="72"/>
      <c r="B692" s="73">
        <f t="shared" si="11"/>
        <v>0</v>
      </c>
      <c r="C692" s="79"/>
      <c r="D692" s="75"/>
      <c r="E692" s="90"/>
      <c r="F692" s="81"/>
    </row>
    <row r="693" spans="1:6" x14ac:dyDescent="0.25">
      <c r="A693" s="72"/>
      <c r="B693" s="73">
        <f t="shared" si="11"/>
        <v>0</v>
      </c>
      <c r="C693" s="79"/>
      <c r="D693" s="75"/>
      <c r="E693" s="90"/>
      <c r="F693" s="81"/>
    </row>
    <row r="694" spans="1:6" x14ac:dyDescent="0.25">
      <c r="A694" s="72"/>
      <c r="B694" s="73">
        <f t="shared" si="11"/>
        <v>0</v>
      </c>
      <c r="C694" s="79"/>
      <c r="D694" s="75"/>
      <c r="E694" s="90"/>
      <c r="F694" s="81"/>
    </row>
    <row r="695" spans="1:6" x14ac:dyDescent="0.25">
      <c r="A695" s="72"/>
      <c r="B695" s="73">
        <f t="shared" si="11"/>
        <v>0</v>
      </c>
      <c r="C695" s="79"/>
      <c r="D695" s="75"/>
      <c r="E695" s="90"/>
      <c r="F695" s="81"/>
    </row>
    <row r="696" spans="1:6" x14ac:dyDescent="0.25">
      <c r="A696" s="72"/>
      <c r="B696" s="73">
        <f t="shared" si="11"/>
        <v>0</v>
      </c>
      <c r="C696" s="79"/>
      <c r="D696" s="75"/>
      <c r="E696" s="90"/>
      <c r="F696" s="81"/>
    </row>
    <row r="697" spans="1:6" x14ac:dyDescent="0.25">
      <c r="A697" s="72"/>
      <c r="B697" s="73">
        <f t="shared" si="11"/>
        <v>0</v>
      </c>
      <c r="C697" s="79"/>
      <c r="D697" s="75"/>
      <c r="E697" s="90"/>
      <c r="F697" s="81"/>
    </row>
    <row r="698" spans="1:6" x14ac:dyDescent="0.25">
      <c r="A698" s="72"/>
      <c r="B698" s="73">
        <f t="shared" si="11"/>
        <v>0</v>
      </c>
      <c r="C698" s="79"/>
      <c r="D698" s="75"/>
      <c r="E698" s="90"/>
      <c r="F698" s="81"/>
    </row>
    <row r="699" spans="1:6" x14ac:dyDescent="0.25">
      <c r="A699" s="72"/>
      <c r="B699" s="73">
        <f t="shared" si="11"/>
        <v>0</v>
      </c>
      <c r="C699" s="79"/>
      <c r="D699" s="75"/>
      <c r="E699" s="90"/>
      <c r="F699" s="81"/>
    </row>
    <row r="700" spans="1:6" x14ac:dyDescent="0.25">
      <c r="A700" s="72"/>
      <c r="B700" s="73">
        <f t="shared" si="11"/>
        <v>0</v>
      </c>
      <c r="C700" s="79"/>
      <c r="D700" s="75"/>
      <c r="E700" s="90"/>
      <c r="F700" s="81"/>
    </row>
    <row r="701" spans="1:6" x14ac:dyDescent="0.25">
      <c r="A701" s="72"/>
      <c r="B701" s="73">
        <f t="shared" si="11"/>
        <v>0</v>
      </c>
      <c r="C701" s="79"/>
      <c r="D701" s="75"/>
      <c r="E701" s="90"/>
      <c r="F701" s="81"/>
    </row>
    <row r="702" spans="1:6" x14ac:dyDescent="0.25">
      <c r="A702" s="72"/>
      <c r="B702" s="73">
        <f t="shared" si="11"/>
        <v>0</v>
      </c>
      <c r="C702" s="79"/>
      <c r="D702" s="75"/>
      <c r="E702" s="90"/>
      <c r="F702" s="81"/>
    </row>
    <row r="703" spans="1:6" x14ac:dyDescent="0.25">
      <c r="A703" s="72"/>
      <c r="B703" s="73">
        <f t="shared" si="11"/>
        <v>0</v>
      </c>
      <c r="C703" s="79"/>
      <c r="D703" s="75"/>
      <c r="E703" s="90"/>
      <c r="F703" s="81"/>
    </row>
    <row r="704" spans="1:6" x14ac:dyDescent="0.25">
      <c r="A704" s="72"/>
      <c r="B704" s="73">
        <f t="shared" si="11"/>
        <v>0</v>
      </c>
      <c r="C704" s="79"/>
      <c r="D704" s="75"/>
      <c r="E704" s="90"/>
      <c r="F704" s="81"/>
    </row>
    <row r="705" spans="1:6" x14ac:dyDescent="0.25">
      <c r="A705" s="72"/>
      <c r="B705" s="73">
        <f t="shared" si="11"/>
        <v>0</v>
      </c>
      <c r="C705" s="79"/>
      <c r="D705" s="75"/>
      <c r="E705" s="90"/>
      <c r="F705" s="81"/>
    </row>
    <row r="706" spans="1:6" x14ac:dyDescent="0.25">
      <c r="A706" s="72"/>
      <c r="B706" s="73">
        <f t="shared" si="11"/>
        <v>0</v>
      </c>
      <c r="C706" s="79"/>
      <c r="D706" s="75"/>
      <c r="E706" s="90"/>
      <c r="F706" s="81"/>
    </row>
    <row r="707" spans="1:6" x14ac:dyDescent="0.25">
      <c r="A707" s="72"/>
      <c r="B707" s="73">
        <f t="shared" si="11"/>
        <v>0</v>
      </c>
      <c r="C707" s="79"/>
      <c r="D707" s="75"/>
      <c r="E707" s="90"/>
      <c r="F707" s="81"/>
    </row>
    <row r="708" spans="1:6" x14ac:dyDescent="0.25">
      <c r="A708" s="72"/>
      <c r="B708" s="73">
        <f t="shared" si="11"/>
        <v>0</v>
      </c>
      <c r="C708" s="79"/>
      <c r="D708" s="75"/>
      <c r="E708" s="90"/>
      <c r="F708" s="81"/>
    </row>
    <row r="709" spans="1:6" x14ac:dyDescent="0.25">
      <c r="A709" s="72"/>
      <c r="B709" s="73">
        <f t="shared" si="11"/>
        <v>0</v>
      </c>
      <c r="C709" s="79"/>
      <c r="D709" s="75"/>
      <c r="E709" s="90"/>
      <c r="F709" s="81"/>
    </row>
    <row r="710" spans="1:6" x14ac:dyDescent="0.25">
      <c r="A710" s="72"/>
      <c r="B710" s="73">
        <f t="shared" si="11"/>
        <v>0</v>
      </c>
      <c r="C710" s="79"/>
      <c r="D710" s="75"/>
      <c r="E710" s="90"/>
      <c r="F710" s="81"/>
    </row>
    <row r="711" spans="1:6" x14ac:dyDescent="0.25">
      <c r="A711" s="72"/>
      <c r="B711" s="73">
        <f t="shared" si="11"/>
        <v>0</v>
      </c>
      <c r="C711" s="79"/>
      <c r="D711" s="75"/>
      <c r="E711" s="90"/>
      <c r="F711" s="81"/>
    </row>
    <row r="712" spans="1:6" x14ac:dyDescent="0.25">
      <c r="A712" s="72"/>
      <c r="B712" s="73">
        <f t="shared" si="11"/>
        <v>0</v>
      </c>
      <c r="C712" s="79"/>
      <c r="D712" s="75"/>
      <c r="E712" s="90"/>
      <c r="F712" s="81"/>
    </row>
    <row r="713" spans="1:6" x14ac:dyDescent="0.25">
      <c r="A713" s="72"/>
      <c r="B713" s="73">
        <f t="shared" si="11"/>
        <v>0</v>
      </c>
      <c r="C713" s="79"/>
      <c r="D713" s="75"/>
      <c r="E713" s="90"/>
      <c r="F713" s="81"/>
    </row>
    <row r="714" spans="1:6" x14ac:dyDescent="0.25">
      <c r="A714" s="72"/>
      <c r="B714" s="73">
        <f t="shared" si="11"/>
        <v>0</v>
      </c>
      <c r="C714" s="79"/>
      <c r="D714" s="75"/>
      <c r="E714" s="90"/>
      <c r="F714" s="81"/>
    </row>
    <row r="715" spans="1:6" x14ac:dyDescent="0.25">
      <c r="A715" s="72"/>
      <c r="B715" s="73">
        <f t="shared" si="11"/>
        <v>0</v>
      </c>
      <c r="C715" s="79"/>
      <c r="D715" s="75"/>
      <c r="E715" s="90"/>
      <c r="F715" s="81"/>
    </row>
    <row r="716" spans="1:6" x14ac:dyDescent="0.25">
      <c r="A716" s="72"/>
      <c r="B716" s="73">
        <f t="shared" si="11"/>
        <v>0</v>
      </c>
      <c r="C716" s="79"/>
      <c r="D716" s="75"/>
      <c r="E716" s="90"/>
      <c r="F716" s="81"/>
    </row>
    <row r="717" spans="1:6" x14ac:dyDescent="0.25">
      <c r="A717" s="72"/>
      <c r="B717" s="73">
        <f t="shared" si="11"/>
        <v>0</v>
      </c>
      <c r="C717" s="79"/>
      <c r="D717" s="75"/>
      <c r="E717" s="90"/>
      <c r="F717" s="81"/>
    </row>
    <row r="718" spans="1:6" x14ac:dyDescent="0.25">
      <c r="A718" s="72"/>
      <c r="B718" s="73">
        <f t="shared" si="11"/>
        <v>0</v>
      </c>
      <c r="C718" s="79"/>
      <c r="D718" s="75"/>
      <c r="E718" s="90"/>
      <c r="F718" s="81"/>
    </row>
    <row r="719" spans="1:6" x14ac:dyDescent="0.25">
      <c r="A719" s="72"/>
      <c r="B719" s="73">
        <f t="shared" si="11"/>
        <v>0</v>
      </c>
      <c r="C719" s="79"/>
      <c r="D719" s="75"/>
      <c r="E719" s="90"/>
      <c r="F719" s="81"/>
    </row>
    <row r="720" spans="1:6" x14ac:dyDescent="0.25">
      <c r="A720" s="72"/>
      <c r="B720" s="73">
        <f t="shared" si="11"/>
        <v>0</v>
      </c>
      <c r="C720" s="79"/>
      <c r="D720" s="75"/>
      <c r="E720" s="90"/>
      <c r="F720" s="81"/>
    </row>
    <row r="721" spans="1:6" x14ac:dyDescent="0.25">
      <c r="A721" s="72"/>
      <c r="B721" s="73">
        <f t="shared" si="11"/>
        <v>0</v>
      </c>
      <c r="C721" s="79"/>
      <c r="D721" s="75"/>
      <c r="E721" s="90"/>
      <c r="F721" s="81"/>
    </row>
    <row r="722" spans="1:6" x14ac:dyDescent="0.25">
      <c r="A722" s="72"/>
      <c r="B722" s="73">
        <f t="shared" si="11"/>
        <v>0</v>
      </c>
      <c r="C722" s="79"/>
      <c r="D722" s="75"/>
      <c r="E722" s="90"/>
      <c r="F722" s="81"/>
    </row>
    <row r="723" spans="1:6" x14ac:dyDescent="0.25">
      <c r="A723" s="72"/>
      <c r="B723" s="73">
        <f t="shared" ref="B723:B773" si="12">WEEKNUM(A723,1)</f>
        <v>0</v>
      </c>
      <c r="C723" s="79"/>
      <c r="D723" s="75"/>
      <c r="E723" s="90"/>
      <c r="F723" s="81"/>
    </row>
    <row r="724" spans="1:6" x14ac:dyDescent="0.25">
      <c r="A724" s="72"/>
      <c r="B724" s="73">
        <f t="shared" si="12"/>
        <v>0</v>
      </c>
      <c r="C724" s="79"/>
      <c r="D724" s="75"/>
      <c r="E724" s="90"/>
      <c r="F724" s="81"/>
    </row>
    <row r="725" spans="1:6" x14ac:dyDescent="0.25">
      <c r="A725" s="72"/>
      <c r="B725" s="73">
        <f t="shared" si="12"/>
        <v>0</v>
      </c>
      <c r="C725" s="79"/>
      <c r="D725" s="75"/>
      <c r="E725" s="90"/>
      <c r="F725" s="81"/>
    </row>
    <row r="726" spans="1:6" x14ac:dyDescent="0.25">
      <c r="A726" s="72"/>
      <c r="B726" s="73">
        <f t="shared" si="12"/>
        <v>0</v>
      </c>
      <c r="C726" s="79"/>
      <c r="D726" s="75"/>
      <c r="E726" s="90"/>
      <c r="F726" s="81"/>
    </row>
    <row r="727" spans="1:6" x14ac:dyDescent="0.25">
      <c r="A727" s="72"/>
      <c r="B727" s="73">
        <f t="shared" si="12"/>
        <v>0</v>
      </c>
      <c r="C727" s="79"/>
      <c r="D727" s="75"/>
      <c r="E727" s="90"/>
      <c r="F727" s="81"/>
    </row>
    <row r="728" spans="1:6" x14ac:dyDescent="0.25">
      <c r="A728" s="72"/>
      <c r="B728" s="73">
        <f t="shared" si="12"/>
        <v>0</v>
      </c>
      <c r="C728" s="79"/>
      <c r="D728" s="75"/>
      <c r="E728" s="90"/>
      <c r="F728" s="81"/>
    </row>
    <row r="729" spans="1:6" x14ac:dyDescent="0.25">
      <c r="A729" s="72"/>
      <c r="B729" s="73">
        <f t="shared" si="12"/>
        <v>0</v>
      </c>
      <c r="C729" s="79"/>
      <c r="D729" s="75"/>
      <c r="E729" s="90"/>
      <c r="F729" s="81"/>
    </row>
    <row r="730" spans="1:6" x14ac:dyDescent="0.25">
      <c r="A730" s="72"/>
      <c r="B730" s="73">
        <f t="shared" si="12"/>
        <v>0</v>
      </c>
      <c r="C730" s="79"/>
      <c r="D730" s="75"/>
      <c r="E730" s="90"/>
      <c r="F730" s="81"/>
    </row>
    <row r="731" spans="1:6" x14ac:dyDescent="0.25">
      <c r="A731" s="72"/>
      <c r="B731" s="73">
        <f t="shared" si="12"/>
        <v>0</v>
      </c>
      <c r="C731" s="79"/>
      <c r="D731" s="75"/>
      <c r="E731" s="90"/>
      <c r="F731" s="81"/>
    </row>
    <row r="732" spans="1:6" x14ac:dyDescent="0.25">
      <c r="A732" s="72"/>
      <c r="B732" s="73">
        <f t="shared" si="12"/>
        <v>0</v>
      </c>
      <c r="C732" s="79"/>
      <c r="D732" s="75"/>
      <c r="E732" s="90"/>
      <c r="F732" s="81"/>
    </row>
    <row r="733" spans="1:6" x14ac:dyDescent="0.25">
      <c r="A733" s="72"/>
      <c r="B733" s="73">
        <f t="shared" si="12"/>
        <v>0</v>
      </c>
      <c r="C733" s="79"/>
      <c r="D733" s="75"/>
      <c r="E733" s="90"/>
      <c r="F733" s="81"/>
    </row>
    <row r="734" spans="1:6" x14ac:dyDescent="0.25">
      <c r="A734" s="72"/>
      <c r="B734" s="73">
        <f t="shared" si="12"/>
        <v>0</v>
      </c>
      <c r="C734" s="79"/>
      <c r="D734" s="75"/>
      <c r="E734" s="90"/>
      <c r="F734" s="81"/>
    </row>
    <row r="735" spans="1:6" x14ac:dyDescent="0.25">
      <c r="A735" s="72"/>
      <c r="B735" s="73">
        <f t="shared" si="12"/>
        <v>0</v>
      </c>
      <c r="C735" s="79"/>
      <c r="D735" s="75"/>
      <c r="E735" s="90"/>
      <c r="F735" s="81"/>
    </row>
    <row r="736" spans="1:6" x14ac:dyDescent="0.25">
      <c r="A736" s="72"/>
      <c r="B736" s="73">
        <f t="shared" si="12"/>
        <v>0</v>
      </c>
      <c r="C736" s="79"/>
      <c r="D736" s="75"/>
      <c r="E736" s="90"/>
      <c r="F736" s="81"/>
    </row>
    <row r="737" spans="1:6" x14ac:dyDescent="0.25">
      <c r="A737" s="72"/>
      <c r="B737" s="73">
        <f t="shared" si="12"/>
        <v>0</v>
      </c>
      <c r="C737" s="79"/>
      <c r="D737" s="75"/>
      <c r="E737" s="90"/>
      <c r="F737" s="81"/>
    </row>
    <row r="738" spans="1:6" x14ac:dyDescent="0.25">
      <c r="A738" s="72"/>
      <c r="B738" s="73">
        <f t="shared" si="12"/>
        <v>0</v>
      </c>
      <c r="C738" s="79"/>
      <c r="D738" s="75"/>
      <c r="E738" s="90"/>
      <c r="F738" s="81"/>
    </row>
    <row r="739" spans="1:6" x14ac:dyDescent="0.25">
      <c r="A739" s="72"/>
      <c r="B739" s="73">
        <f t="shared" si="12"/>
        <v>0</v>
      </c>
      <c r="C739" s="79"/>
      <c r="D739" s="75"/>
      <c r="E739" s="90"/>
      <c r="F739" s="81"/>
    </row>
    <row r="740" spans="1:6" x14ac:dyDescent="0.25">
      <c r="A740" s="72"/>
      <c r="B740" s="73">
        <f t="shared" si="12"/>
        <v>0</v>
      </c>
      <c r="C740" s="79"/>
      <c r="D740" s="75"/>
      <c r="E740" s="90"/>
      <c r="F740" s="81"/>
    </row>
    <row r="741" spans="1:6" x14ac:dyDescent="0.25">
      <c r="A741" s="72"/>
      <c r="B741" s="73">
        <f t="shared" si="12"/>
        <v>0</v>
      </c>
      <c r="C741" s="79"/>
      <c r="D741" s="75"/>
      <c r="E741" s="90"/>
      <c r="F741" s="81"/>
    </row>
    <row r="742" spans="1:6" x14ac:dyDescent="0.25">
      <c r="A742" s="72"/>
      <c r="B742" s="73">
        <f t="shared" si="12"/>
        <v>0</v>
      </c>
      <c r="C742" s="79"/>
      <c r="D742" s="75"/>
      <c r="E742" s="90"/>
      <c r="F742" s="81"/>
    </row>
    <row r="743" spans="1:6" x14ac:dyDescent="0.25">
      <c r="A743" s="72"/>
      <c r="B743" s="73">
        <f t="shared" si="12"/>
        <v>0</v>
      </c>
      <c r="C743" s="79"/>
      <c r="D743" s="75"/>
      <c r="E743" s="90"/>
      <c r="F743" s="81"/>
    </row>
    <row r="744" spans="1:6" x14ac:dyDescent="0.25">
      <c r="A744" s="72"/>
      <c r="B744" s="73">
        <f t="shared" si="12"/>
        <v>0</v>
      </c>
      <c r="C744" s="79"/>
      <c r="D744" s="75"/>
      <c r="E744" s="90"/>
      <c r="F744" s="81"/>
    </row>
    <row r="745" spans="1:6" x14ac:dyDescent="0.25">
      <c r="A745" s="72"/>
      <c r="B745" s="73">
        <f t="shared" si="12"/>
        <v>0</v>
      </c>
      <c r="C745" s="79"/>
      <c r="D745" s="75"/>
      <c r="E745" s="90"/>
      <c r="F745" s="81"/>
    </row>
    <row r="746" spans="1:6" x14ac:dyDescent="0.25">
      <c r="A746" s="72"/>
      <c r="B746" s="73">
        <f t="shared" si="12"/>
        <v>0</v>
      </c>
      <c r="C746" s="79"/>
      <c r="D746" s="75"/>
      <c r="E746" s="90"/>
      <c r="F746" s="81"/>
    </row>
    <row r="747" spans="1:6" x14ac:dyDescent="0.25">
      <c r="A747" s="72"/>
      <c r="B747" s="73">
        <f t="shared" si="12"/>
        <v>0</v>
      </c>
      <c r="C747" s="79"/>
      <c r="D747" s="75"/>
      <c r="E747" s="90"/>
      <c r="F747" s="81"/>
    </row>
    <row r="748" spans="1:6" x14ac:dyDescent="0.25">
      <c r="A748" s="72"/>
      <c r="B748" s="73">
        <f t="shared" si="12"/>
        <v>0</v>
      </c>
      <c r="C748" s="79"/>
      <c r="D748" s="75"/>
      <c r="E748" s="90"/>
      <c r="F748" s="81"/>
    </row>
    <row r="749" spans="1:6" x14ac:dyDescent="0.25">
      <c r="A749" s="72"/>
      <c r="B749" s="73">
        <f t="shared" si="12"/>
        <v>0</v>
      </c>
      <c r="C749" s="79"/>
      <c r="D749" s="75"/>
      <c r="E749" s="90"/>
      <c r="F749" s="81"/>
    </row>
    <row r="750" spans="1:6" x14ac:dyDescent="0.25">
      <c r="A750" s="72"/>
      <c r="B750" s="73">
        <f t="shared" si="12"/>
        <v>0</v>
      </c>
      <c r="C750" s="79"/>
      <c r="D750" s="75"/>
      <c r="E750" s="90"/>
      <c r="F750" s="81"/>
    </row>
    <row r="751" spans="1:6" x14ac:dyDescent="0.25">
      <c r="A751" s="72"/>
      <c r="B751" s="73">
        <f t="shared" si="12"/>
        <v>0</v>
      </c>
      <c r="C751" s="79"/>
      <c r="D751" s="75"/>
      <c r="E751" s="90"/>
      <c r="F751" s="81"/>
    </row>
    <row r="752" spans="1:6" x14ac:dyDescent="0.25">
      <c r="A752" s="72"/>
      <c r="B752" s="73">
        <f t="shared" si="12"/>
        <v>0</v>
      </c>
      <c r="C752" s="79"/>
      <c r="D752" s="75"/>
      <c r="E752" s="90"/>
      <c r="F752" s="81"/>
    </row>
    <row r="753" spans="1:6" x14ac:dyDescent="0.25">
      <c r="A753" s="72"/>
      <c r="B753" s="73">
        <f t="shared" si="12"/>
        <v>0</v>
      </c>
      <c r="C753" s="79"/>
      <c r="D753" s="75"/>
      <c r="E753" s="90"/>
      <c r="F753" s="81"/>
    </row>
    <row r="754" spans="1:6" x14ac:dyDescent="0.25">
      <c r="A754" s="72"/>
      <c r="B754" s="73">
        <f t="shared" si="12"/>
        <v>0</v>
      </c>
      <c r="C754" s="79"/>
      <c r="D754" s="75"/>
      <c r="E754" s="90"/>
      <c r="F754" s="81"/>
    </row>
    <row r="755" spans="1:6" x14ac:dyDescent="0.25">
      <c r="A755" s="72"/>
      <c r="B755" s="73">
        <f t="shared" si="12"/>
        <v>0</v>
      </c>
      <c r="C755" s="79"/>
      <c r="D755" s="75"/>
      <c r="E755" s="90"/>
      <c r="F755" s="81"/>
    </row>
    <row r="756" spans="1:6" x14ac:dyDescent="0.25">
      <c r="A756" s="72"/>
      <c r="B756" s="73">
        <f t="shared" si="12"/>
        <v>0</v>
      </c>
      <c r="C756" s="79"/>
      <c r="D756" s="75"/>
      <c r="E756" s="90"/>
      <c r="F756" s="81"/>
    </row>
    <row r="757" spans="1:6" x14ac:dyDescent="0.25">
      <c r="A757" s="72"/>
      <c r="B757" s="73">
        <f t="shared" si="12"/>
        <v>0</v>
      </c>
      <c r="C757" s="79"/>
      <c r="D757" s="75"/>
      <c r="E757" s="90"/>
      <c r="F757" s="81"/>
    </row>
    <row r="758" spans="1:6" x14ac:dyDescent="0.25">
      <c r="A758" s="72"/>
      <c r="B758" s="73">
        <f t="shared" si="12"/>
        <v>0</v>
      </c>
      <c r="C758" s="79"/>
      <c r="D758" s="75"/>
      <c r="E758" s="90"/>
      <c r="F758" s="81"/>
    </row>
    <row r="759" spans="1:6" x14ac:dyDescent="0.25">
      <c r="A759" s="72"/>
      <c r="B759" s="73">
        <f t="shared" si="12"/>
        <v>0</v>
      </c>
      <c r="C759" s="79"/>
      <c r="D759" s="75"/>
      <c r="E759" s="90"/>
      <c r="F759" s="81"/>
    </row>
    <row r="760" spans="1:6" x14ac:dyDescent="0.25">
      <c r="A760" s="72"/>
      <c r="B760" s="73">
        <f t="shared" si="12"/>
        <v>0</v>
      </c>
      <c r="C760" s="79"/>
      <c r="D760" s="75"/>
      <c r="E760" s="90"/>
      <c r="F760" s="81"/>
    </row>
    <row r="761" spans="1:6" x14ac:dyDescent="0.25">
      <c r="A761" s="72"/>
      <c r="B761" s="73">
        <f t="shared" si="12"/>
        <v>0</v>
      </c>
      <c r="C761" s="79"/>
      <c r="D761" s="75"/>
      <c r="E761" s="90"/>
      <c r="F761" s="81"/>
    </row>
    <row r="762" spans="1:6" x14ac:dyDescent="0.25">
      <c r="A762" s="72"/>
      <c r="B762" s="73">
        <f t="shared" si="12"/>
        <v>0</v>
      </c>
      <c r="C762" s="79"/>
      <c r="D762" s="75"/>
      <c r="E762" s="90"/>
      <c r="F762" s="81"/>
    </row>
    <row r="763" spans="1:6" x14ac:dyDescent="0.25">
      <c r="A763" s="72"/>
      <c r="B763" s="73">
        <f t="shared" si="12"/>
        <v>0</v>
      </c>
      <c r="C763" s="79"/>
      <c r="D763" s="75"/>
      <c r="E763" s="90"/>
      <c r="F763" s="81"/>
    </row>
    <row r="764" spans="1:6" x14ac:dyDescent="0.25">
      <c r="A764" s="72"/>
      <c r="B764" s="73">
        <f t="shared" si="12"/>
        <v>0</v>
      </c>
      <c r="C764" s="79"/>
      <c r="D764" s="75"/>
      <c r="E764" s="90"/>
      <c r="F764" s="81"/>
    </row>
    <row r="765" spans="1:6" x14ac:dyDescent="0.25">
      <c r="A765" s="72"/>
      <c r="B765" s="73">
        <f t="shared" si="12"/>
        <v>0</v>
      </c>
      <c r="C765" s="79"/>
      <c r="D765" s="75"/>
      <c r="E765" s="90"/>
      <c r="F765" s="81"/>
    </row>
    <row r="766" spans="1:6" x14ac:dyDescent="0.25">
      <c r="A766" s="72"/>
      <c r="B766" s="73">
        <f t="shared" si="12"/>
        <v>0</v>
      </c>
      <c r="C766" s="79"/>
      <c r="D766" s="75"/>
      <c r="E766" s="90"/>
      <c r="F766" s="81"/>
    </row>
    <row r="767" spans="1:6" x14ac:dyDescent="0.25">
      <c r="A767" s="72"/>
      <c r="B767" s="73">
        <f t="shared" si="12"/>
        <v>0</v>
      </c>
      <c r="C767" s="79"/>
      <c r="D767" s="75"/>
      <c r="E767" s="90"/>
      <c r="F767" s="81"/>
    </row>
    <row r="768" spans="1:6" x14ac:dyDescent="0.25">
      <c r="A768" s="72"/>
      <c r="B768" s="73">
        <f t="shared" si="12"/>
        <v>0</v>
      </c>
      <c r="C768" s="79"/>
      <c r="D768" s="75"/>
      <c r="E768" s="90"/>
      <c r="F768" s="81"/>
    </row>
    <row r="769" spans="1:6" x14ac:dyDescent="0.25">
      <c r="A769" s="72"/>
      <c r="B769" s="73">
        <f t="shared" si="12"/>
        <v>0</v>
      </c>
      <c r="C769" s="79"/>
      <c r="D769" s="75"/>
      <c r="E769" s="90"/>
      <c r="F769" s="81"/>
    </row>
    <row r="770" spans="1:6" x14ac:dyDescent="0.25">
      <c r="A770" s="72"/>
      <c r="B770" s="73">
        <f t="shared" si="12"/>
        <v>0</v>
      </c>
      <c r="C770" s="79"/>
      <c r="D770" s="75"/>
      <c r="E770" s="90"/>
      <c r="F770" s="81"/>
    </row>
    <row r="771" spans="1:6" x14ac:dyDescent="0.25">
      <c r="A771" s="72"/>
      <c r="B771" s="73">
        <f t="shared" si="12"/>
        <v>0</v>
      </c>
      <c r="C771" s="79"/>
      <c r="D771" s="75"/>
      <c r="E771" s="90"/>
      <c r="F771" s="81"/>
    </row>
    <row r="772" spans="1:6" x14ac:dyDescent="0.25">
      <c r="A772" s="72"/>
      <c r="B772" s="73">
        <f t="shared" si="12"/>
        <v>0</v>
      </c>
      <c r="C772" s="79"/>
      <c r="D772" s="75"/>
      <c r="E772" s="90"/>
      <c r="F772" s="81"/>
    </row>
    <row r="773" spans="1:6" x14ac:dyDescent="0.25">
      <c r="A773" s="72"/>
      <c r="B773" s="73">
        <f t="shared" si="12"/>
        <v>0</v>
      </c>
      <c r="C773" s="79"/>
      <c r="D773" s="75"/>
      <c r="E773" s="90"/>
      <c r="F773" s="81"/>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C4:C773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2023-03-07T15:01:32Z</dcterms:modified>
</cp:coreProperties>
</file>